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元分析-抄\抄-融合环境下孤独症干预\"/>
    </mc:Choice>
  </mc:AlternateContent>
  <xr:revisionPtr revIDLastSave="0" documentId="13_ncr:1_{D59419A1-9CB1-460B-818E-F6AE71CE877E}" xr6:coauthVersionLast="47" xr6:coauthVersionMax="47" xr10:uidLastSave="{00000000-0000-0000-0000-000000000000}"/>
  <bookViews>
    <workbookView xWindow="30612" yWindow="-108" windowWidth="23256" windowHeight="13176" xr2:uid="{00000000-000D-0000-FFFF-FFFF00000000}"/>
  </bookViews>
  <sheets>
    <sheet name="两段数据对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95" i="1" l="1"/>
  <c r="J595" i="1"/>
  <c r="H595" i="1"/>
  <c r="O594" i="1"/>
  <c r="J594" i="1"/>
  <c r="H594" i="1"/>
  <c r="O593" i="1"/>
  <c r="J593" i="1"/>
  <c r="H593" i="1"/>
  <c r="O592" i="1"/>
  <c r="J592" i="1"/>
  <c r="H592" i="1"/>
  <c r="O591" i="1"/>
  <c r="J591" i="1"/>
  <c r="H591" i="1"/>
  <c r="O590" i="1"/>
  <c r="J590" i="1"/>
  <c r="H590" i="1"/>
  <c r="O589" i="1"/>
  <c r="J589" i="1"/>
  <c r="H589" i="1"/>
  <c r="O588" i="1"/>
  <c r="J588" i="1"/>
  <c r="H588" i="1"/>
  <c r="O587" i="1"/>
  <c r="J587" i="1"/>
  <c r="H587" i="1"/>
  <c r="O586" i="1"/>
  <c r="J586" i="1"/>
  <c r="H586" i="1"/>
  <c r="O585" i="1"/>
  <c r="J585" i="1"/>
  <c r="H585" i="1"/>
  <c r="O584" i="1"/>
  <c r="J584" i="1"/>
  <c r="H584" i="1"/>
  <c r="O583" i="1"/>
  <c r="J583" i="1"/>
  <c r="H583" i="1"/>
  <c r="O582" i="1"/>
  <c r="J582" i="1"/>
  <c r="H582" i="1"/>
  <c r="O581" i="1"/>
  <c r="J581" i="1"/>
  <c r="H581" i="1"/>
  <c r="O580" i="1"/>
  <c r="J580" i="1"/>
  <c r="H580" i="1"/>
  <c r="O579" i="1"/>
  <c r="J579" i="1"/>
  <c r="H579" i="1"/>
  <c r="O578" i="1"/>
  <c r="J578" i="1"/>
  <c r="H578" i="1"/>
  <c r="O577" i="1"/>
  <c r="J577" i="1"/>
  <c r="H577" i="1"/>
  <c r="O576" i="1"/>
  <c r="J576" i="1"/>
  <c r="H576" i="1"/>
  <c r="O575" i="1"/>
  <c r="J575" i="1"/>
  <c r="H575" i="1"/>
  <c r="O574" i="1"/>
  <c r="J574" i="1"/>
  <c r="H574" i="1"/>
  <c r="O573" i="1"/>
  <c r="J573" i="1"/>
  <c r="H573" i="1"/>
  <c r="O572" i="1"/>
  <c r="J572" i="1"/>
  <c r="H572" i="1"/>
  <c r="O571" i="1"/>
  <c r="J571" i="1"/>
  <c r="H571" i="1"/>
  <c r="O570" i="1"/>
  <c r="J570" i="1"/>
  <c r="H570" i="1"/>
  <c r="O569" i="1"/>
  <c r="J569" i="1"/>
  <c r="H569" i="1"/>
  <c r="O568" i="1"/>
  <c r="J568" i="1"/>
  <c r="H568" i="1"/>
  <c r="O567" i="1"/>
  <c r="J567" i="1"/>
  <c r="H567" i="1"/>
  <c r="O558" i="1"/>
  <c r="J558" i="1"/>
  <c r="H558" i="1"/>
  <c r="O557" i="1"/>
  <c r="J557" i="1"/>
  <c r="H557" i="1"/>
  <c r="O556" i="1"/>
  <c r="J556" i="1"/>
  <c r="H556" i="1"/>
  <c r="O552" i="1"/>
  <c r="J552" i="1"/>
  <c r="H552" i="1"/>
  <c r="O551" i="1"/>
  <c r="J551" i="1"/>
  <c r="H551" i="1"/>
  <c r="O550" i="1"/>
  <c r="J550" i="1"/>
  <c r="H550" i="1"/>
  <c r="O549" i="1"/>
  <c r="J549" i="1"/>
  <c r="H549" i="1"/>
  <c r="O548" i="1"/>
  <c r="J548" i="1"/>
  <c r="H548" i="1"/>
  <c r="O547" i="1"/>
  <c r="J547" i="1"/>
  <c r="H547" i="1"/>
  <c r="O546" i="1"/>
  <c r="J546" i="1"/>
  <c r="H546" i="1"/>
  <c r="O545" i="1"/>
  <c r="J545" i="1"/>
  <c r="H545" i="1"/>
  <c r="O544" i="1"/>
  <c r="J544" i="1"/>
  <c r="H544" i="1"/>
  <c r="O543" i="1"/>
  <c r="J543" i="1"/>
  <c r="H543" i="1"/>
  <c r="O542" i="1"/>
  <c r="J542" i="1"/>
  <c r="H542" i="1"/>
  <c r="O541" i="1"/>
  <c r="J541" i="1"/>
  <c r="H541" i="1"/>
  <c r="J540" i="1"/>
  <c r="H540" i="1"/>
  <c r="J539" i="1"/>
  <c r="H539" i="1"/>
  <c r="O538" i="1"/>
  <c r="J538" i="1"/>
  <c r="H538" i="1"/>
  <c r="O537" i="1"/>
  <c r="J537" i="1"/>
  <c r="H537" i="1"/>
  <c r="O536" i="1"/>
  <c r="J536" i="1"/>
  <c r="H536" i="1"/>
  <c r="O535" i="1"/>
  <c r="J535" i="1"/>
  <c r="H535" i="1"/>
  <c r="J531" i="1"/>
  <c r="H531" i="1"/>
  <c r="O530" i="1"/>
  <c r="J530" i="1"/>
  <c r="H530" i="1"/>
  <c r="O529" i="1"/>
  <c r="J529" i="1"/>
  <c r="H529" i="1"/>
  <c r="O528" i="1"/>
  <c r="J528" i="1"/>
  <c r="H528" i="1"/>
  <c r="O527" i="1"/>
  <c r="J527" i="1"/>
  <c r="H527" i="1"/>
  <c r="J526" i="1"/>
  <c r="H526" i="1"/>
  <c r="J525" i="1"/>
  <c r="H525" i="1"/>
  <c r="O524" i="1"/>
  <c r="J524" i="1"/>
  <c r="H524" i="1"/>
  <c r="O523" i="1"/>
  <c r="J523" i="1"/>
  <c r="H523" i="1"/>
  <c r="O522" i="1"/>
  <c r="J522" i="1"/>
  <c r="H522" i="1"/>
  <c r="O521" i="1"/>
  <c r="J521" i="1"/>
  <c r="H521" i="1"/>
  <c r="O520" i="1"/>
  <c r="J520" i="1"/>
  <c r="H520" i="1"/>
  <c r="O519" i="1"/>
  <c r="J519" i="1"/>
  <c r="H519" i="1"/>
  <c r="J518" i="1"/>
  <c r="H518" i="1"/>
  <c r="J516" i="1"/>
  <c r="H516" i="1"/>
  <c r="O514" i="1"/>
  <c r="J514" i="1"/>
  <c r="H514" i="1"/>
  <c r="J512" i="1"/>
  <c r="H512" i="1"/>
  <c r="J511" i="1"/>
  <c r="H511" i="1"/>
  <c r="O510" i="1"/>
  <c r="J510" i="1"/>
  <c r="H510" i="1"/>
  <c r="O509" i="1"/>
  <c r="J509" i="1"/>
  <c r="H509" i="1"/>
  <c r="O508" i="1"/>
  <c r="J508" i="1"/>
  <c r="H508" i="1"/>
  <c r="O507" i="1"/>
  <c r="J507" i="1"/>
  <c r="H507" i="1"/>
  <c r="O506" i="1"/>
  <c r="J506" i="1"/>
  <c r="H506" i="1"/>
  <c r="O505" i="1"/>
  <c r="J505" i="1"/>
  <c r="H505" i="1"/>
  <c r="O504" i="1"/>
  <c r="J504" i="1"/>
  <c r="H504" i="1"/>
  <c r="O503" i="1"/>
  <c r="J503" i="1"/>
  <c r="H503" i="1"/>
  <c r="O502" i="1"/>
  <c r="J502" i="1"/>
  <c r="H502" i="1"/>
  <c r="O501" i="1"/>
  <c r="J501" i="1"/>
  <c r="H501" i="1"/>
  <c r="O500" i="1"/>
  <c r="J500" i="1"/>
  <c r="H500" i="1"/>
  <c r="O499" i="1"/>
  <c r="J499" i="1"/>
  <c r="H499" i="1"/>
  <c r="O498" i="1"/>
  <c r="J498" i="1"/>
  <c r="H498" i="1"/>
  <c r="O497" i="1"/>
  <c r="J497" i="1"/>
  <c r="H497" i="1"/>
  <c r="O496" i="1"/>
  <c r="J496" i="1"/>
  <c r="H496" i="1"/>
  <c r="O495" i="1"/>
  <c r="J495" i="1"/>
  <c r="H495" i="1"/>
  <c r="O494" i="1"/>
  <c r="J494" i="1"/>
  <c r="H494" i="1"/>
  <c r="O493" i="1"/>
  <c r="J493" i="1"/>
  <c r="H493" i="1"/>
  <c r="O492" i="1"/>
  <c r="J492" i="1"/>
  <c r="H492" i="1"/>
  <c r="O491" i="1"/>
  <c r="J491" i="1"/>
  <c r="H491" i="1"/>
  <c r="O490" i="1"/>
  <c r="J490" i="1"/>
  <c r="H490" i="1"/>
  <c r="O489" i="1"/>
  <c r="J489" i="1"/>
  <c r="H489" i="1"/>
  <c r="O488" i="1"/>
  <c r="J488" i="1"/>
  <c r="H488" i="1"/>
  <c r="O487" i="1"/>
  <c r="J487" i="1"/>
  <c r="H487" i="1"/>
  <c r="J482" i="1"/>
  <c r="H482" i="1"/>
  <c r="J480" i="1"/>
  <c r="H480" i="1"/>
  <c r="J478" i="1"/>
  <c r="H478" i="1"/>
  <c r="J476" i="1"/>
  <c r="H476" i="1"/>
  <c r="O474" i="1"/>
  <c r="J474" i="1"/>
  <c r="H474" i="1"/>
  <c r="O473" i="1"/>
  <c r="J473" i="1"/>
  <c r="H473" i="1"/>
  <c r="O472" i="1"/>
  <c r="J472" i="1"/>
  <c r="H472" i="1"/>
  <c r="O471" i="1"/>
  <c r="J471" i="1"/>
  <c r="H471" i="1"/>
  <c r="O470" i="1"/>
  <c r="J470" i="1"/>
  <c r="H470" i="1"/>
  <c r="O469" i="1"/>
  <c r="J469" i="1"/>
  <c r="H469" i="1"/>
  <c r="O468" i="1"/>
  <c r="J468" i="1"/>
  <c r="H468" i="1"/>
  <c r="O467" i="1"/>
  <c r="J467" i="1"/>
  <c r="H467" i="1"/>
  <c r="O466" i="1"/>
  <c r="J466" i="1"/>
  <c r="H466" i="1"/>
  <c r="O465" i="1"/>
  <c r="J465" i="1"/>
  <c r="H465" i="1"/>
  <c r="O464" i="1"/>
  <c r="J464" i="1"/>
  <c r="H464" i="1"/>
  <c r="O463" i="1"/>
  <c r="J463" i="1"/>
  <c r="H463" i="1"/>
  <c r="O462" i="1"/>
  <c r="J462" i="1"/>
  <c r="H462" i="1"/>
  <c r="O461" i="1"/>
  <c r="J461" i="1"/>
  <c r="H461" i="1"/>
  <c r="O460" i="1"/>
  <c r="J460" i="1"/>
  <c r="H460" i="1"/>
  <c r="O459" i="1"/>
  <c r="J459" i="1"/>
  <c r="H459" i="1"/>
  <c r="O458" i="1"/>
  <c r="J458" i="1"/>
  <c r="H458" i="1"/>
  <c r="O457" i="1"/>
  <c r="J457" i="1"/>
  <c r="H457" i="1"/>
  <c r="O456" i="1"/>
  <c r="J456" i="1"/>
  <c r="H456" i="1"/>
  <c r="O455" i="1"/>
  <c r="J455" i="1"/>
  <c r="H455" i="1"/>
  <c r="J454" i="1"/>
  <c r="H454" i="1"/>
  <c r="J452" i="1"/>
  <c r="H452" i="1"/>
  <c r="O450" i="1"/>
  <c r="J450" i="1"/>
  <c r="H450" i="1"/>
  <c r="O448" i="1"/>
  <c r="J448" i="1"/>
  <c r="H448" i="1"/>
  <c r="O447" i="1"/>
  <c r="J447" i="1"/>
  <c r="H447" i="1"/>
  <c r="O446" i="1"/>
  <c r="J446" i="1"/>
  <c r="H446" i="1"/>
  <c r="O445" i="1"/>
  <c r="J445" i="1"/>
  <c r="H445" i="1"/>
  <c r="O444" i="1"/>
  <c r="J444" i="1"/>
  <c r="H444" i="1"/>
  <c r="O443" i="1"/>
  <c r="J443" i="1"/>
  <c r="H443" i="1"/>
  <c r="O442" i="1"/>
  <c r="J442" i="1"/>
  <c r="H442" i="1"/>
  <c r="O441" i="1"/>
  <c r="J441" i="1"/>
  <c r="H441" i="1"/>
  <c r="O438" i="1"/>
  <c r="J438" i="1"/>
  <c r="H438" i="1"/>
  <c r="O437" i="1"/>
  <c r="J437" i="1"/>
  <c r="H437" i="1"/>
  <c r="O432" i="1"/>
  <c r="J432" i="1"/>
  <c r="H432" i="1"/>
  <c r="O431" i="1"/>
  <c r="J431" i="1"/>
  <c r="H431" i="1"/>
  <c r="O430" i="1"/>
  <c r="J430" i="1"/>
  <c r="H430" i="1"/>
  <c r="O429" i="1"/>
  <c r="J429" i="1"/>
  <c r="H429" i="1"/>
  <c r="O428" i="1"/>
  <c r="J428" i="1"/>
  <c r="H428" i="1"/>
  <c r="O427" i="1"/>
  <c r="J427" i="1"/>
  <c r="H427" i="1"/>
  <c r="O426" i="1"/>
  <c r="J426" i="1"/>
  <c r="H426" i="1"/>
  <c r="O425" i="1"/>
  <c r="J425" i="1"/>
  <c r="H425" i="1"/>
  <c r="O424" i="1"/>
  <c r="J424" i="1"/>
  <c r="H424" i="1"/>
  <c r="O423" i="1"/>
  <c r="J423" i="1"/>
  <c r="H423" i="1"/>
  <c r="O422" i="1"/>
  <c r="J422" i="1"/>
  <c r="H422" i="1"/>
  <c r="O421" i="1"/>
  <c r="J421" i="1"/>
  <c r="H421" i="1"/>
  <c r="O420" i="1"/>
  <c r="J420" i="1"/>
  <c r="H420" i="1"/>
  <c r="O419" i="1"/>
  <c r="J419" i="1"/>
  <c r="H419" i="1"/>
  <c r="O418" i="1"/>
  <c r="J418" i="1"/>
  <c r="H418" i="1"/>
  <c r="O417" i="1"/>
  <c r="J417" i="1"/>
  <c r="H417" i="1"/>
  <c r="O416" i="1"/>
  <c r="J416" i="1"/>
  <c r="H416" i="1"/>
  <c r="O415" i="1"/>
  <c r="J415" i="1"/>
  <c r="H415" i="1"/>
  <c r="O414" i="1"/>
  <c r="J414" i="1"/>
  <c r="H414" i="1"/>
  <c r="O413" i="1"/>
  <c r="J413" i="1"/>
  <c r="H413" i="1"/>
  <c r="O412" i="1"/>
  <c r="J412" i="1"/>
  <c r="H412" i="1"/>
  <c r="O411" i="1"/>
  <c r="J411" i="1"/>
  <c r="H411" i="1"/>
  <c r="O410" i="1"/>
  <c r="J410" i="1"/>
  <c r="H410" i="1"/>
  <c r="O409" i="1"/>
  <c r="J409" i="1"/>
  <c r="H409" i="1"/>
  <c r="O408" i="1"/>
  <c r="J408" i="1"/>
  <c r="H408" i="1"/>
  <c r="O407" i="1"/>
  <c r="J407" i="1"/>
  <c r="H407" i="1"/>
  <c r="O406" i="1"/>
  <c r="J406" i="1"/>
  <c r="H406" i="1"/>
  <c r="O405" i="1"/>
  <c r="J405" i="1"/>
  <c r="H405" i="1"/>
  <c r="O404" i="1"/>
  <c r="J404" i="1"/>
  <c r="H404" i="1"/>
  <c r="O403" i="1"/>
  <c r="J403" i="1"/>
  <c r="H403" i="1"/>
  <c r="O402" i="1"/>
  <c r="J402" i="1"/>
  <c r="H402" i="1"/>
  <c r="O401" i="1"/>
  <c r="J401" i="1"/>
  <c r="H401" i="1"/>
  <c r="O400" i="1"/>
  <c r="J400" i="1"/>
  <c r="H400" i="1"/>
  <c r="O399" i="1"/>
  <c r="J399" i="1"/>
  <c r="H399" i="1"/>
  <c r="O398" i="1"/>
  <c r="J398" i="1"/>
  <c r="H398" i="1"/>
  <c r="O397" i="1"/>
  <c r="J397" i="1"/>
  <c r="H397" i="1"/>
  <c r="O396" i="1"/>
  <c r="J396" i="1"/>
  <c r="H396" i="1"/>
  <c r="O395" i="1"/>
  <c r="J395" i="1"/>
  <c r="H395" i="1"/>
  <c r="O394" i="1"/>
  <c r="J394" i="1"/>
  <c r="H394" i="1"/>
  <c r="O393" i="1"/>
  <c r="J393" i="1"/>
  <c r="H393" i="1"/>
  <c r="O392" i="1"/>
  <c r="J392" i="1"/>
  <c r="H392" i="1"/>
  <c r="O391" i="1"/>
  <c r="J391" i="1"/>
  <c r="H391" i="1"/>
  <c r="O390" i="1"/>
  <c r="J390" i="1"/>
  <c r="H390" i="1"/>
  <c r="O389" i="1"/>
  <c r="J389" i="1"/>
  <c r="H389" i="1"/>
  <c r="O388" i="1"/>
  <c r="J388" i="1"/>
  <c r="H388" i="1"/>
  <c r="O387" i="1"/>
  <c r="J387" i="1"/>
  <c r="H387" i="1"/>
  <c r="O386" i="1"/>
  <c r="J386" i="1"/>
  <c r="H386" i="1"/>
  <c r="O385" i="1"/>
  <c r="J385" i="1"/>
  <c r="H385" i="1"/>
  <c r="O384" i="1"/>
  <c r="J384" i="1"/>
  <c r="H384" i="1"/>
  <c r="O383" i="1"/>
  <c r="J383" i="1"/>
  <c r="H383" i="1"/>
  <c r="O382" i="1"/>
  <c r="J382" i="1"/>
  <c r="H382" i="1"/>
  <c r="O381" i="1"/>
  <c r="J381" i="1"/>
  <c r="H381" i="1"/>
  <c r="O380" i="1"/>
  <c r="J380" i="1"/>
  <c r="H380" i="1"/>
  <c r="O379" i="1"/>
  <c r="J379" i="1"/>
  <c r="H379" i="1"/>
  <c r="O378" i="1"/>
  <c r="J378" i="1"/>
  <c r="H378" i="1"/>
  <c r="O377" i="1"/>
  <c r="J377" i="1"/>
  <c r="H377" i="1"/>
  <c r="O376" i="1"/>
  <c r="J376" i="1"/>
  <c r="H376" i="1"/>
  <c r="J372" i="1"/>
  <c r="H372" i="1"/>
  <c r="O371" i="1"/>
  <c r="J371" i="1"/>
  <c r="H371" i="1"/>
  <c r="O370" i="1"/>
  <c r="J370" i="1"/>
  <c r="H370" i="1"/>
  <c r="O369" i="1"/>
  <c r="J369" i="1"/>
  <c r="H369" i="1"/>
  <c r="O368" i="1"/>
  <c r="J368" i="1"/>
  <c r="H368" i="1"/>
  <c r="O367" i="1"/>
  <c r="J367" i="1"/>
  <c r="H367" i="1"/>
  <c r="J366" i="1"/>
  <c r="H366" i="1"/>
  <c r="O365" i="1"/>
  <c r="J365" i="1"/>
  <c r="H365" i="1"/>
  <c r="J364" i="1"/>
  <c r="H364" i="1"/>
  <c r="O363" i="1"/>
  <c r="J363" i="1"/>
  <c r="H363" i="1"/>
  <c r="J362" i="1"/>
  <c r="H362" i="1"/>
  <c r="O361" i="1"/>
  <c r="J361" i="1"/>
  <c r="H361" i="1"/>
  <c r="J356" i="1"/>
  <c r="H356" i="1"/>
  <c r="J355" i="1"/>
  <c r="H355" i="1"/>
  <c r="J354" i="1"/>
  <c r="H354" i="1"/>
  <c r="J353" i="1"/>
  <c r="H353" i="1"/>
  <c r="J352" i="1"/>
  <c r="H352" i="1"/>
  <c r="J351" i="1"/>
  <c r="H351" i="1"/>
  <c r="J350" i="1"/>
  <c r="H350" i="1"/>
  <c r="J349" i="1"/>
  <c r="H349" i="1"/>
  <c r="J348" i="1"/>
  <c r="H348" i="1"/>
  <c r="J347" i="1"/>
  <c r="H347" i="1"/>
  <c r="J346" i="1"/>
  <c r="H346" i="1"/>
  <c r="J345" i="1"/>
  <c r="H345" i="1"/>
  <c r="J344" i="1"/>
  <c r="H344" i="1"/>
  <c r="J343" i="1"/>
  <c r="H343" i="1"/>
  <c r="J342" i="1"/>
  <c r="H342" i="1"/>
  <c r="J341" i="1"/>
  <c r="H341" i="1"/>
  <c r="J340" i="1"/>
  <c r="H340" i="1"/>
  <c r="J339" i="1"/>
  <c r="H339" i="1"/>
  <c r="J338" i="1"/>
  <c r="H338" i="1"/>
  <c r="J337" i="1"/>
  <c r="H337" i="1"/>
  <c r="J336" i="1"/>
  <c r="H336" i="1"/>
  <c r="J335" i="1"/>
  <c r="H335" i="1"/>
  <c r="J334" i="1"/>
  <c r="H334" i="1"/>
  <c r="J333" i="1"/>
  <c r="H333" i="1"/>
  <c r="J332" i="1"/>
  <c r="H332" i="1"/>
  <c r="J331" i="1"/>
  <c r="H331" i="1"/>
  <c r="O329" i="1"/>
  <c r="J329" i="1"/>
  <c r="H329" i="1"/>
  <c r="J327" i="1"/>
  <c r="H327" i="1"/>
  <c r="J326" i="1"/>
  <c r="H326" i="1"/>
  <c r="J325" i="1"/>
  <c r="H325" i="1"/>
  <c r="O324" i="1"/>
  <c r="J324" i="1"/>
  <c r="H324" i="1"/>
  <c r="O323" i="1"/>
  <c r="J323" i="1"/>
  <c r="H323" i="1"/>
  <c r="O322" i="1"/>
  <c r="J322" i="1"/>
  <c r="H322" i="1"/>
  <c r="J321" i="1"/>
  <c r="H321" i="1"/>
  <c r="J320" i="1"/>
  <c r="H320" i="1"/>
  <c r="J319" i="1"/>
  <c r="H319" i="1"/>
  <c r="O318" i="1"/>
  <c r="J318" i="1"/>
  <c r="H318" i="1"/>
  <c r="J317" i="1"/>
  <c r="H317" i="1"/>
  <c r="O316" i="1"/>
  <c r="J316" i="1"/>
  <c r="H316" i="1"/>
  <c r="J315" i="1"/>
  <c r="H315" i="1"/>
  <c r="J314" i="1"/>
  <c r="H314" i="1"/>
  <c r="J313" i="1"/>
  <c r="H313" i="1"/>
  <c r="O312" i="1"/>
  <c r="J312" i="1"/>
  <c r="H312" i="1"/>
  <c r="O311" i="1"/>
  <c r="J311" i="1"/>
  <c r="H311" i="1"/>
  <c r="O310" i="1"/>
  <c r="J310" i="1"/>
  <c r="H310" i="1"/>
  <c r="O309" i="1"/>
  <c r="J309" i="1"/>
  <c r="H309" i="1"/>
  <c r="J308" i="1"/>
  <c r="H308" i="1"/>
  <c r="O307" i="1"/>
  <c r="J307" i="1"/>
  <c r="H307" i="1"/>
  <c r="J306" i="1"/>
  <c r="H306" i="1"/>
  <c r="J305" i="1"/>
  <c r="H305" i="1"/>
  <c r="J304" i="1"/>
  <c r="H304" i="1"/>
  <c r="O303" i="1"/>
  <c r="J303" i="1"/>
  <c r="H303" i="1"/>
  <c r="J302" i="1"/>
  <c r="H302" i="1"/>
  <c r="O301" i="1"/>
  <c r="J301" i="1"/>
  <c r="H301" i="1"/>
  <c r="O300" i="1"/>
  <c r="J300" i="1"/>
  <c r="H300" i="1"/>
  <c r="J299" i="1"/>
  <c r="H299" i="1"/>
  <c r="O298" i="1"/>
  <c r="J298" i="1"/>
  <c r="H298" i="1"/>
  <c r="J297" i="1"/>
  <c r="H297" i="1"/>
  <c r="J296" i="1"/>
  <c r="H296" i="1"/>
  <c r="J295" i="1"/>
  <c r="H295" i="1"/>
  <c r="J294" i="1"/>
  <c r="H294" i="1"/>
  <c r="J293" i="1"/>
  <c r="H293" i="1"/>
  <c r="J292" i="1"/>
  <c r="H292" i="1"/>
  <c r="J290" i="1"/>
  <c r="H290" i="1"/>
  <c r="J289" i="1"/>
  <c r="H289" i="1"/>
  <c r="J288" i="1"/>
  <c r="H288" i="1"/>
  <c r="J287" i="1"/>
  <c r="H287" i="1"/>
  <c r="J286" i="1"/>
  <c r="H286" i="1"/>
  <c r="J285" i="1"/>
  <c r="H285" i="1"/>
  <c r="J284" i="1"/>
  <c r="H284" i="1"/>
  <c r="O283" i="1"/>
  <c r="J283" i="1"/>
  <c r="H283" i="1"/>
  <c r="O282" i="1"/>
  <c r="J282" i="1"/>
  <c r="H282" i="1"/>
  <c r="O281" i="1"/>
  <c r="J281" i="1"/>
  <c r="H281" i="1"/>
  <c r="O280" i="1"/>
  <c r="J280" i="1"/>
  <c r="H280" i="1"/>
  <c r="O279" i="1"/>
  <c r="J279" i="1"/>
  <c r="H279" i="1"/>
  <c r="J278" i="1"/>
  <c r="H278" i="1"/>
  <c r="J277" i="1"/>
  <c r="H277" i="1"/>
  <c r="J276" i="1"/>
  <c r="H276" i="1"/>
  <c r="J275" i="1"/>
  <c r="H275" i="1"/>
  <c r="O274" i="1"/>
  <c r="J274" i="1"/>
  <c r="H274" i="1"/>
  <c r="O273" i="1"/>
  <c r="J273" i="1"/>
  <c r="H273" i="1"/>
  <c r="O272" i="1"/>
  <c r="J272" i="1"/>
  <c r="H272" i="1"/>
  <c r="O271" i="1"/>
  <c r="J271" i="1"/>
  <c r="H271" i="1"/>
  <c r="O270" i="1"/>
  <c r="J270" i="1"/>
  <c r="H270" i="1"/>
  <c r="O269" i="1"/>
  <c r="J269" i="1"/>
  <c r="H269" i="1"/>
  <c r="O268" i="1"/>
  <c r="J268" i="1"/>
  <c r="H268" i="1"/>
  <c r="O267" i="1"/>
  <c r="J267" i="1"/>
  <c r="H267" i="1"/>
  <c r="O266" i="1"/>
  <c r="J266" i="1"/>
  <c r="H266" i="1"/>
  <c r="O265" i="1"/>
  <c r="J265" i="1"/>
  <c r="H265" i="1"/>
  <c r="O264" i="1"/>
  <c r="J264" i="1"/>
  <c r="H264" i="1"/>
  <c r="O263" i="1"/>
  <c r="J263" i="1"/>
  <c r="H263" i="1"/>
  <c r="O262" i="1"/>
  <c r="J262" i="1"/>
  <c r="H262" i="1"/>
  <c r="O261" i="1"/>
  <c r="J261" i="1"/>
  <c r="H261" i="1"/>
  <c r="O260" i="1"/>
  <c r="J260" i="1"/>
  <c r="H260" i="1"/>
  <c r="O259" i="1"/>
  <c r="J259" i="1"/>
  <c r="H259" i="1"/>
  <c r="O258" i="1"/>
  <c r="J258" i="1"/>
  <c r="H258" i="1"/>
  <c r="O257" i="1"/>
  <c r="J257" i="1"/>
  <c r="H257" i="1"/>
  <c r="J256" i="1"/>
  <c r="H256" i="1"/>
  <c r="J255" i="1"/>
  <c r="H255" i="1"/>
  <c r="J254" i="1"/>
  <c r="H254" i="1"/>
  <c r="J253" i="1"/>
  <c r="H253" i="1"/>
  <c r="J252" i="1"/>
  <c r="H252" i="1"/>
  <c r="J251" i="1"/>
  <c r="H251" i="1"/>
  <c r="J250" i="1"/>
  <c r="H250" i="1"/>
  <c r="J249" i="1"/>
  <c r="H249" i="1"/>
  <c r="J248" i="1"/>
  <c r="H248" i="1"/>
  <c r="J247" i="1"/>
  <c r="H247" i="1"/>
  <c r="J246" i="1"/>
  <c r="H246" i="1"/>
  <c r="J245" i="1"/>
  <c r="H245" i="1"/>
  <c r="J244" i="1"/>
  <c r="H244" i="1"/>
  <c r="J243" i="1"/>
  <c r="H243" i="1"/>
  <c r="J242" i="1"/>
  <c r="H242" i="1"/>
  <c r="J241" i="1"/>
  <c r="H241" i="1"/>
  <c r="O240" i="1"/>
  <c r="J240" i="1"/>
  <c r="H240" i="1"/>
  <c r="O239" i="1"/>
  <c r="J239" i="1"/>
  <c r="H239" i="1"/>
  <c r="J238" i="1"/>
  <c r="H238" i="1"/>
  <c r="O237" i="1"/>
  <c r="J237" i="1"/>
  <c r="H237" i="1"/>
  <c r="O236" i="1"/>
  <c r="J236" i="1"/>
  <c r="H236" i="1"/>
  <c r="J235" i="1"/>
  <c r="H235" i="1"/>
  <c r="O231" i="1"/>
  <c r="J231" i="1"/>
  <c r="H231" i="1"/>
  <c r="O230" i="1"/>
  <c r="J230" i="1"/>
  <c r="H230" i="1"/>
  <c r="O228" i="1"/>
  <c r="J228" i="1"/>
  <c r="H228" i="1"/>
  <c r="O227" i="1"/>
  <c r="J227" i="1"/>
  <c r="H227" i="1"/>
  <c r="O226" i="1"/>
  <c r="J226" i="1"/>
  <c r="H226" i="1"/>
  <c r="J224" i="1"/>
  <c r="H224" i="1"/>
  <c r="O223" i="1"/>
  <c r="J223" i="1"/>
  <c r="H223" i="1"/>
  <c r="J221" i="1"/>
  <c r="H221" i="1"/>
  <c r="O220" i="1"/>
  <c r="J220" i="1"/>
  <c r="H220" i="1"/>
  <c r="J219" i="1"/>
  <c r="H219" i="1"/>
  <c r="O218" i="1"/>
  <c r="J218" i="1"/>
  <c r="H218" i="1"/>
  <c r="O217" i="1"/>
  <c r="J217" i="1"/>
  <c r="H217" i="1"/>
  <c r="O216" i="1"/>
  <c r="J216" i="1"/>
  <c r="H216" i="1"/>
  <c r="O215" i="1"/>
  <c r="J215" i="1"/>
  <c r="H215" i="1"/>
  <c r="O214" i="1"/>
  <c r="J214" i="1"/>
  <c r="H214" i="1"/>
  <c r="J213" i="1"/>
  <c r="H213" i="1"/>
  <c r="O212" i="1"/>
  <c r="J212" i="1"/>
  <c r="H212" i="1"/>
  <c r="O211" i="1"/>
  <c r="J211" i="1"/>
  <c r="H211" i="1"/>
  <c r="J210" i="1"/>
  <c r="H210" i="1"/>
  <c r="J209" i="1"/>
  <c r="H209" i="1"/>
  <c r="J208" i="1"/>
  <c r="H208" i="1"/>
  <c r="O207" i="1"/>
  <c r="J207" i="1"/>
  <c r="H207" i="1"/>
  <c r="O206" i="1"/>
  <c r="J206" i="1"/>
  <c r="H206" i="1"/>
  <c r="O205" i="1"/>
  <c r="J205" i="1"/>
  <c r="H205" i="1"/>
  <c r="J204" i="1"/>
  <c r="H204" i="1"/>
  <c r="O203" i="1"/>
  <c r="J203" i="1"/>
  <c r="H203" i="1"/>
  <c r="J202" i="1"/>
  <c r="H202" i="1"/>
  <c r="O201" i="1"/>
  <c r="J201" i="1"/>
  <c r="H201" i="1"/>
  <c r="J199" i="1"/>
  <c r="H199" i="1"/>
  <c r="J198" i="1"/>
  <c r="H198" i="1"/>
  <c r="O195" i="1"/>
  <c r="J195" i="1"/>
  <c r="H195" i="1"/>
  <c r="O194" i="1"/>
  <c r="J194" i="1"/>
  <c r="H194" i="1"/>
  <c r="O193" i="1"/>
  <c r="J193" i="1"/>
  <c r="H193" i="1"/>
  <c r="O192" i="1"/>
  <c r="J192" i="1"/>
  <c r="H192" i="1"/>
  <c r="O191" i="1"/>
  <c r="J191" i="1"/>
  <c r="H191" i="1"/>
  <c r="O190" i="1"/>
  <c r="J190" i="1"/>
  <c r="H190" i="1"/>
  <c r="O175" i="1"/>
  <c r="J175" i="1"/>
  <c r="H175" i="1"/>
  <c r="O172" i="1"/>
  <c r="J172" i="1"/>
  <c r="H172" i="1"/>
  <c r="O169" i="1"/>
  <c r="J169" i="1"/>
  <c r="H169" i="1"/>
  <c r="O168" i="1"/>
  <c r="J168" i="1"/>
  <c r="H168" i="1"/>
  <c r="O167" i="1"/>
  <c r="J167" i="1"/>
  <c r="H167" i="1"/>
  <c r="O166" i="1"/>
  <c r="J166" i="1"/>
  <c r="H166" i="1"/>
  <c r="O163" i="1"/>
  <c r="J163" i="1"/>
  <c r="H163" i="1"/>
  <c r="O162" i="1"/>
  <c r="J162" i="1"/>
  <c r="H162" i="1"/>
  <c r="O161" i="1"/>
  <c r="J161" i="1"/>
  <c r="H161" i="1"/>
  <c r="O159" i="1"/>
  <c r="J159" i="1"/>
  <c r="H159" i="1"/>
  <c r="O158" i="1"/>
  <c r="J158" i="1"/>
  <c r="H158" i="1"/>
  <c r="O155" i="1"/>
  <c r="J155" i="1"/>
  <c r="H155" i="1"/>
  <c r="O154" i="1"/>
  <c r="J154" i="1"/>
  <c r="H154" i="1"/>
  <c r="O153" i="1"/>
  <c r="J153" i="1"/>
  <c r="H153" i="1"/>
  <c r="O152" i="1"/>
  <c r="J152" i="1"/>
  <c r="H152" i="1"/>
  <c r="J151" i="1"/>
  <c r="H151" i="1"/>
  <c r="O150" i="1"/>
  <c r="J150" i="1"/>
  <c r="H150" i="1"/>
  <c r="O149" i="1"/>
  <c r="J149" i="1"/>
  <c r="H149" i="1"/>
  <c r="O148" i="1"/>
  <c r="J148" i="1"/>
  <c r="H148" i="1"/>
  <c r="O147" i="1"/>
  <c r="J147" i="1"/>
  <c r="H147" i="1"/>
  <c r="O146" i="1"/>
  <c r="J146" i="1"/>
  <c r="H146" i="1"/>
  <c r="J145" i="1"/>
  <c r="H145" i="1"/>
  <c r="O144" i="1"/>
  <c r="J144" i="1"/>
  <c r="H144" i="1"/>
  <c r="O143" i="1"/>
  <c r="J143" i="1"/>
  <c r="H143" i="1"/>
  <c r="J142" i="1"/>
  <c r="H142" i="1"/>
  <c r="O141" i="1"/>
  <c r="J141" i="1"/>
  <c r="H141" i="1"/>
  <c r="J140" i="1"/>
  <c r="H140" i="1"/>
  <c r="J139" i="1"/>
  <c r="H139" i="1"/>
  <c r="J138" i="1"/>
  <c r="H138" i="1"/>
  <c r="O137" i="1"/>
  <c r="J137" i="1"/>
  <c r="H137" i="1"/>
  <c r="O136" i="1"/>
  <c r="J136" i="1"/>
  <c r="H136" i="1"/>
  <c r="O135" i="1"/>
  <c r="J135" i="1"/>
  <c r="H135" i="1"/>
  <c r="O134" i="1"/>
  <c r="J134" i="1"/>
  <c r="H134" i="1"/>
  <c r="O133" i="1"/>
  <c r="J133" i="1"/>
  <c r="H133" i="1"/>
  <c r="O132" i="1"/>
  <c r="J132" i="1"/>
  <c r="H132" i="1"/>
  <c r="O131" i="1"/>
  <c r="J131" i="1"/>
  <c r="H131" i="1"/>
  <c r="O130" i="1"/>
  <c r="J130" i="1"/>
  <c r="H130" i="1"/>
  <c r="O129" i="1"/>
  <c r="J129" i="1"/>
  <c r="H129" i="1"/>
  <c r="O128" i="1"/>
  <c r="J128" i="1"/>
  <c r="H128" i="1"/>
  <c r="O127" i="1"/>
  <c r="J127" i="1"/>
  <c r="H127" i="1"/>
  <c r="O126" i="1"/>
  <c r="J126" i="1"/>
  <c r="H126" i="1"/>
  <c r="O125" i="1"/>
  <c r="J125" i="1"/>
  <c r="H125" i="1"/>
  <c r="O124" i="1"/>
  <c r="J124" i="1"/>
  <c r="H124" i="1"/>
  <c r="O123" i="1"/>
  <c r="J123" i="1"/>
  <c r="H123" i="1"/>
  <c r="J122" i="1"/>
  <c r="H122" i="1"/>
  <c r="O121" i="1"/>
  <c r="J121" i="1"/>
  <c r="H121" i="1"/>
  <c r="J120" i="1"/>
  <c r="H120" i="1"/>
  <c r="O119" i="1"/>
  <c r="J119" i="1"/>
  <c r="H119" i="1"/>
  <c r="O118" i="1"/>
  <c r="J118" i="1"/>
  <c r="H118" i="1"/>
  <c r="O117" i="1"/>
  <c r="J117" i="1"/>
  <c r="H117" i="1"/>
  <c r="O116" i="1"/>
  <c r="J116" i="1"/>
  <c r="H116" i="1"/>
  <c r="J115" i="1"/>
  <c r="H115" i="1"/>
  <c r="O114" i="1"/>
  <c r="J114" i="1"/>
  <c r="H114" i="1"/>
  <c r="J113" i="1"/>
  <c r="H113" i="1"/>
  <c r="O112" i="1"/>
  <c r="J112" i="1"/>
  <c r="H112" i="1"/>
  <c r="J111" i="1"/>
  <c r="H111" i="1"/>
  <c r="O110" i="1"/>
  <c r="J110" i="1"/>
  <c r="H110" i="1"/>
  <c r="J109" i="1"/>
  <c r="H109" i="1"/>
  <c r="O108" i="1"/>
  <c r="J108" i="1"/>
  <c r="H108" i="1"/>
  <c r="O107" i="1"/>
  <c r="J107" i="1"/>
  <c r="H107" i="1"/>
  <c r="J106" i="1"/>
  <c r="H106" i="1"/>
  <c r="O105" i="1"/>
  <c r="J105" i="1"/>
  <c r="H105" i="1"/>
  <c r="O104" i="1"/>
  <c r="J104" i="1"/>
  <c r="H104" i="1"/>
  <c r="J103" i="1"/>
  <c r="H103" i="1"/>
  <c r="O102" i="1"/>
  <c r="J102" i="1"/>
  <c r="H102" i="1"/>
  <c r="J101" i="1"/>
  <c r="H101" i="1"/>
  <c r="J100" i="1"/>
  <c r="H100" i="1"/>
  <c r="J99" i="1"/>
  <c r="H99" i="1"/>
  <c r="O98" i="1"/>
  <c r="J98" i="1"/>
  <c r="H98" i="1"/>
  <c r="J97" i="1"/>
  <c r="H97" i="1"/>
  <c r="O96" i="1"/>
  <c r="J96" i="1"/>
  <c r="H96" i="1"/>
  <c r="O95" i="1"/>
  <c r="J95" i="1"/>
  <c r="H95" i="1"/>
  <c r="J94" i="1"/>
  <c r="H94" i="1"/>
  <c r="O93" i="1"/>
  <c r="J93" i="1"/>
  <c r="H93" i="1"/>
  <c r="O92" i="1"/>
  <c r="J92" i="1"/>
  <c r="H92" i="1"/>
  <c r="J91" i="1"/>
  <c r="H91" i="1"/>
  <c r="O90" i="1"/>
  <c r="J90" i="1"/>
  <c r="H90" i="1"/>
  <c r="O89" i="1"/>
  <c r="J89" i="1"/>
  <c r="H89" i="1"/>
  <c r="J88" i="1"/>
  <c r="H88" i="1"/>
  <c r="O87" i="1"/>
  <c r="J87" i="1"/>
  <c r="H87" i="1"/>
  <c r="O86" i="1"/>
  <c r="J86" i="1"/>
  <c r="H86" i="1"/>
  <c r="J85" i="1"/>
  <c r="H85" i="1"/>
  <c r="O84" i="1"/>
  <c r="J84" i="1"/>
  <c r="H84" i="1"/>
  <c r="J81" i="1"/>
  <c r="H81" i="1"/>
  <c r="J80" i="1"/>
  <c r="H80" i="1"/>
  <c r="J78" i="1"/>
  <c r="H78" i="1"/>
  <c r="J77" i="1"/>
  <c r="H77" i="1"/>
  <c r="J76" i="1"/>
  <c r="H76" i="1"/>
  <c r="O75" i="1"/>
  <c r="J75" i="1"/>
  <c r="H75" i="1"/>
  <c r="O74" i="1"/>
  <c r="J74" i="1"/>
  <c r="H74" i="1"/>
  <c r="O73" i="1"/>
  <c r="J73" i="1"/>
  <c r="H73" i="1"/>
  <c r="O72" i="1"/>
  <c r="J72" i="1"/>
  <c r="H72" i="1"/>
  <c r="O71" i="1"/>
  <c r="J71" i="1"/>
  <c r="H71" i="1"/>
  <c r="O70" i="1"/>
  <c r="J70" i="1"/>
  <c r="H70" i="1"/>
  <c r="O69" i="1"/>
  <c r="J69" i="1"/>
  <c r="H69" i="1"/>
  <c r="O68" i="1"/>
  <c r="J68" i="1"/>
  <c r="H68" i="1"/>
  <c r="J67" i="1"/>
  <c r="H67" i="1"/>
  <c r="J66" i="1"/>
  <c r="H66" i="1"/>
  <c r="J65" i="1"/>
  <c r="H65" i="1"/>
  <c r="J64" i="1"/>
  <c r="H64" i="1"/>
  <c r="J63" i="1"/>
  <c r="H63" i="1"/>
  <c r="J62" i="1"/>
  <c r="H62" i="1"/>
  <c r="J61" i="1"/>
  <c r="H61" i="1"/>
  <c r="J60" i="1"/>
  <c r="H60" i="1"/>
  <c r="O59" i="1"/>
  <c r="J59" i="1"/>
  <c r="H59" i="1"/>
  <c r="O58" i="1"/>
  <c r="J58" i="1"/>
  <c r="H58" i="1"/>
  <c r="J57" i="1"/>
  <c r="H57" i="1"/>
  <c r="J56" i="1"/>
  <c r="H56" i="1"/>
  <c r="O55" i="1"/>
  <c r="J55" i="1"/>
  <c r="H55" i="1"/>
  <c r="O54" i="1"/>
  <c r="J54" i="1"/>
  <c r="H54" i="1"/>
  <c r="J53" i="1"/>
  <c r="H53" i="1"/>
  <c r="J52" i="1"/>
  <c r="H52" i="1"/>
  <c r="O51" i="1"/>
  <c r="J51" i="1"/>
  <c r="H51" i="1"/>
  <c r="O50" i="1"/>
  <c r="J50" i="1"/>
  <c r="H50" i="1"/>
  <c r="J49" i="1"/>
  <c r="H49" i="1"/>
  <c r="J48" i="1"/>
  <c r="H48" i="1"/>
  <c r="O47" i="1"/>
  <c r="J47" i="1"/>
  <c r="H47" i="1"/>
  <c r="O46" i="1"/>
  <c r="J46" i="1"/>
  <c r="H46" i="1"/>
  <c r="J45" i="1"/>
  <c r="H45" i="1"/>
  <c r="J44" i="1"/>
  <c r="H44" i="1"/>
  <c r="J43" i="1"/>
  <c r="H43" i="1"/>
  <c r="J42" i="1"/>
  <c r="H42" i="1"/>
  <c r="J41" i="1"/>
  <c r="H41" i="1"/>
  <c r="J40" i="1"/>
  <c r="H40" i="1"/>
  <c r="J39" i="1"/>
  <c r="H39" i="1"/>
  <c r="J38" i="1"/>
  <c r="H38" i="1"/>
  <c r="J37" i="1"/>
  <c r="H37" i="1"/>
  <c r="J36" i="1"/>
  <c r="H36" i="1"/>
  <c r="O35" i="1"/>
  <c r="J35" i="1"/>
  <c r="H35" i="1"/>
  <c r="O34" i="1"/>
  <c r="J34" i="1"/>
  <c r="H34" i="1"/>
  <c r="J33" i="1"/>
  <c r="H33" i="1"/>
  <c r="J32" i="1"/>
  <c r="H32" i="1"/>
  <c r="O31" i="1"/>
  <c r="J31" i="1"/>
  <c r="H31" i="1"/>
  <c r="O30" i="1"/>
  <c r="J30" i="1"/>
  <c r="H30" i="1"/>
  <c r="O27" i="1"/>
  <c r="J27" i="1"/>
  <c r="H27" i="1"/>
  <c r="O26" i="1"/>
  <c r="J26" i="1"/>
  <c r="H26" i="1"/>
  <c r="O25" i="1"/>
  <c r="J25" i="1"/>
  <c r="H25" i="1"/>
  <c r="O24" i="1"/>
  <c r="J24" i="1"/>
  <c r="H24" i="1"/>
  <c r="O23" i="1"/>
  <c r="J23" i="1"/>
  <c r="H23" i="1"/>
  <c r="O22" i="1"/>
  <c r="J22" i="1"/>
  <c r="H22" i="1"/>
  <c r="O21" i="1"/>
  <c r="J21" i="1"/>
  <c r="H21" i="1"/>
  <c r="O19" i="1"/>
  <c r="J19" i="1"/>
  <c r="H19" i="1"/>
  <c r="O17" i="1"/>
  <c r="J17" i="1"/>
  <c r="H17" i="1"/>
  <c r="O15" i="1"/>
  <c r="J15" i="1"/>
  <c r="H15" i="1"/>
  <c r="O13" i="1"/>
  <c r="J13" i="1"/>
  <c r="H13" i="1"/>
  <c r="O12" i="1"/>
  <c r="J12" i="1"/>
  <c r="H12" i="1"/>
  <c r="O11" i="1"/>
  <c r="J11" i="1"/>
  <c r="H11" i="1"/>
  <c r="O10" i="1"/>
  <c r="J10" i="1"/>
  <c r="H10" i="1"/>
  <c r="J9" i="1"/>
  <c r="H9" i="1"/>
  <c r="J8" i="1"/>
  <c r="H8" i="1"/>
  <c r="O7" i="1"/>
  <c r="J7" i="1"/>
  <c r="H7" i="1"/>
  <c r="O6" i="1"/>
  <c r="J6" i="1"/>
  <c r="H6" i="1"/>
  <c r="O5" i="1"/>
  <c r="J5" i="1"/>
  <c r="H5" i="1"/>
  <c r="O4" i="1"/>
  <c r="J4" i="1"/>
  <c r="H4" i="1"/>
  <c r="O3" i="1"/>
  <c r="J3" i="1"/>
  <c r="H3" i="1"/>
  <c r="O2" i="1"/>
  <c r="J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tc={6CD4CF59-99E5-494C-A2AC-CCB378358BA0}</author>
    <author>tc={EA19E5E6-935B-48DA-A96C-5D0C50A3D7C2}</author>
    <author>tc={2B7AD2E5-5F8D-484A-8277-C5869796846B}</author>
    <author>tc={5FBCB2E8-A471-4492-A49B-9DAB7BEC1261}</author>
  </authors>
  <commentList>
    <comment ref="A1" authorId="0" shapeId="0" xr:uid="{00000000-0006-0000-0000-000001000000}">
      <text>
        <t>[线程批注]
你的Excel版本可读取此线程批注; 但如果在更新版本的Excel中打开文件，则对批注所作的任何改动都将被删除。了解详细信息: https://go.microsoft.com/fwlink/?linkid=870924
注释:
    完整版，46篇文献、598条前后段记录。此表仅用于Tau-U计算前准备，不计算A–B的Tau-U效应量；仅基线趋势τ、p与是否校正按用户授权计算。D编号仅用于定位，不代表独立效应数量。原数据来源：tau_data/Tau-U效应量.xlsx；参考排版：393K_Tau-U数据.xlsx。</t>
      </text>
    </comment>
    <comment ref="M1" authorId="1" shapeId="0" xr:uid="{00000000-0006-0000-0000-000003000000}">
      <text>
        <t>[线程批注]
你的Excel版本可读取此线程批注; 但如果在更新版本的Excel中打开文件，则对批注所作的任何改动都将被删除。了解详细信息: https://go.microsoft.com/fwlink/?linkid=870924
注释:
    由GPT计算，2026-10-27。基线趋势为按观察次序计算的Kendall tau-b，保留原数值方向，结值修正的双侧渐近p，不作连续性校正。基线恒定、单点或非基线/混合阶段不填τ与p；τ、p来自当前提取值的外部统计计算；如修改原始序列，应重新计算。方法参考：https://docs.scipy.org/doc/scipy/reference/generated/scipy.stats.kendalltau.html 。</t>
      </text>
    </comment>
    <comment ref="O1" authorId="2" shapeId="0" xr:uid="{00000000-0006-0000-0000-000004000000}">
      <text>
        <t>[线程批注]
你的Excel版本可读取此线程批注; 但如果在更新版本的Excel中打开文件，则对批注所作的任何改动都将被删除。了解详细信息: https://go.microsoft.com/fwlink/?linkid=870924
注释:
    按所提供393K参考表的公式：p&lt;0.05，且升高改善时τ&gt;0／降低改善时τ&lt;0，标校正；否则不校正。此处仅为后续是否校正的判断，未计算Tau-U。待审核行留空。基线恒定时τ-b和p无定义，统计留空且不校正；只有1点时无法判断；非基线前段或混合阶段不作基线趋势检验。</t>
      </text>
    </comment>
    <comment ref="R1" authorId="3" shapeId="0" xr:uid="{00000000-0006-0000-0000-000002000000}">
      <text>
        <t>[线程批注]
你的Excel版本可读取此线程批注; 但如果在更新版本的Excel中打开文件，则对批注所作的任何改动都将被删除。了解详细信息: https://go.microsoft.com/fwlink/?linkid=870924
注释:
    已提取表示原数据已有读值，不等于人工审核通过。Claude原样保留表示原5篇样例数值沿用Claude，GPT核对原文名称和图位并计算基线趋势。整行审核状态为待审核时，前段数值、前段点数、后段数值、后段点数全部留空；问题原因写在备注中。Claude原记录含估读时注明待审核。</t>
      </text>
    </comment>
  </commentList>
</comments>
</file>

<file path=xl/sharedStrings.xml><?xml version="1.0" encoding="utf-8"?>
<sst xmlns="http://schemas.openxmlformats.org/spreadsheetml/2006/main" count="8044" uniqueCount="2213">
  <si>
    <t>记录编号</t>
  </si>
  <si>
    <t>文献编号</t>
  </si>
  <si>
    <t>儿童</t>
  </si>
  <si>
    <t>因变量</t>
  </si>
  <si>
    <t>比较类型</t>
  </si>
  <si>
    <t>比较的两段</t>
  </si>
  <si>
    <t>前段数值（按观察顺序）</t>
  </si>
  <si>
    <t>前段点数</t>
  </si>
  <si>
    <t>后段数值（按观察顺序）</t>
  </si>
  <si>
    <t>后段点数</t>
  </si>
  <si>
    <t>单位</t>
  </si>
  <si>
    <t>改善方向</t>
  </si>
  <si>
    <t>基线趋势τ</t>
  </si>
  <si>
    <t>基线趋势p</t>
  </si>
  <si>
    <t>是否校正</t>
  </si>
  <si>
    <t>图位置（图号／PDF页／面板／符号）</t>
  </si>
  <si>
    <t>提取者</t>
  </si>
  <si>
    <t>审核状态</t>
  </si>
  <si>
    <t>备注</t>
  </si>
  <si>
    <t>D0001</t>
  </si>
  <si>
    <t>005-A</t>
  </si>
  <si>
    <t>Juan</t>
  </si>
  <si>
    <t>Appropriate social vocalisations（恰当的社交发声）</t>
  </si>
  <si>
    <t>干预</t>
  </si>
  <si>
    <t>Baseline（基线期） vs BST Social Skills Training（基于行为技能训练的社交技能训练）</t>
  </si>
  <si>
    <t>0,0,0,0,1</t>
  </si>
  <si>
    <t>2,21,3,12,18,32,18,18,26,5,19,21,26,12,24,33,29,30,36,15,28,23,3,35,17,30</t>
  </si>
  <si>
    <t>次</t>
  </si>
  <si>
    <t>升高改善</t>
  </si>
  <si>
    <t>Figure 1；PDF第6页／印刷第5页；上面板（Juan）；黑色实心圆、实线连接；空心三角为Cafeteria泛化探测</t>
  </si>
  <si>
    <t>Claude</t>
  </si>
  <si>
    <t>Claude原样保留</t>
  </si>
  <si>
    <t>数值沿用Claude；原文名称、图位核对及基线趋势计算由GPT完成。</t>
  </si>
  <si>
    <t>D0002</t>
  </si>
  <si>
    <t>泛化</t>
  </si>
  <si>
    <t>Baseline (Cafeteria)（基线期的食堂情境测查） vs BST Social Skills Training (Cafeteria)（基于行为技能训练的社交技能训练的食堂情境测查）</t>
  </si>
  <si>
    <t>0,2</t>
  </si>
  <si>
    <t>3,12,2,2</t>
  </si>
  <si>
    <t>Figure 1；PDF第6页／印刷第5页；上面板（Juan）；Cafeteria空心三角；按Baseline与BST Social Skills Training分段</t>
  </si>
  <si>
    <t>D0003</t>
  </si>
  <si>
    <t>Doug</t>
  </si>
  <si>
    <t>19,0,3,3,8,4,14,2,10,1,1,1,3,12,25,13,1,11,1,23,6,0</t>
  </si>
  <si>
    <t>24,33,21,18,20,21,14,17,35,36</t>
  </si>
  <si>
    <t>Figure 1；PDF第6页／印刷第5页；中面板（Doug）；黑色实心圆、实线连接；空心三角为Cafeteria泛化探测</t>
  </si>
  <si>
    <t>D0004</t>
  </si>
  <si>
    <t>7,0,2,3</t>
  </si>
  <si>
    <t>3,1,0</t>
  </si>
  <si>
    <t>Figure 1；PDF第6页／印刷第5页；中面板（Doug）；Cafeteria空心三角；按Baseline与BST Social Skills Training分段</t>
  </si>
  <si>
    <t>D0005</t>
  </si>
  <si>
    <t>Elli</t>
  </si>
  <si>
    <t>0,8,16,13,7,9,6,20,21,13,5,0,6,5,9,20,19,14,3,13,10,4</t>
  </si>
  <si>
    <t>19,32,18,30,23</t>
  </si>
  <si>
    <t>Figure 1；PDF第6页／印刷第5页；下面板（Elli）；黑色实心圆、实线连接；空心三角为Cafeteria泛化探测</t>
  </si>
  <si>
    <t>D0006</t>
  </si>
  <si>
    <t>0,2,3,3</t>
  </si>
  <si>
    <t>2,3</t>
  </si>
  <si>
    <t>Figure 1；PDF第6页／印刷第5页；下面板（Elli）；Cafeteria空心三角；按Baseline与BST Social Skills Training分段</t>
  </si>
  <si>
    <t>D0007</t>
  </si>
  <si>
    <t>008-A</t>
  </si>
  <si>
    <t>Anwar</t>
  </si>
  <si>
    <t>Percentage of Intervals Engaged（出现课堂参与行为的时距百分比）</t>
  </si>
  <si>
    <t>baseline（基线期） vs weighted blanket（加重毯条件）</t>
  </si>
  <si>
    <t>13.9,17.1,28,9.2,18,27.1,21.1,35.1,9.2,24,38,11.1</t>
  </si>
  <si>
    <t>10.7,6.8,11.5,1.9,15.6</t>
  </si>
  <si>
    <t>%</t>
  </si>
  <si>
    <t>不适用</t>
  </si>
  <si>
    <t>Figure 1；PDF第4页／印刷第4页；Anwar单面板；baseline为实心圆，blanket为实心三角；前段合并Baseline及Comparison内baseline条件，后段为Comparison内对应条件</t>
  </si>
  <si>
    <t>数值沿用Claude；原文名称、图位核对及基线趋势计算由GPT完成；前段合并Baseline及Comparison内baseline条件，不合并检验基线趋势。</t>
  </si>
  <si>
    <t>D0008</t>
  </si>
  <si>
    <t>baseline（基线期） vs structured work box（结构化工作盒条件）</t>
  </si>
  <si>
    <t>92,94.8,96.8,88.8,82,75</t>
  </si>
  <si>
    <t>Figure 1；PDF第4页／印刷第4页；Anwar单面板；baseline为实心圆，work boxes为实心方块；前段合并Baseline及Comparison内baseline条件，后段为Comparison内对应条件</t>
  </si>
  <si>
    <t>D0009</t>
  </si>
  <si>
    <t>020-A</t>
  </si>
  <si>
    <t>Joy</t>
  </si>
  <si>
    <t>Engagement Behaviors（集体活动参与行为）</t>
  </si>
  <si>
    <t>Baseline（基线期） vs SIA-embedded Whole Group Activity（融入特殊兴趣内容的全班集体活动）</t>
  </si>
  <si>
    <t>5,6,12,7</t>
  </si>
  <si>
    <t>22,26,40,35,36,38,34,42,40,55,43,63,58,64,61,60</t>
  </si>
  <si>
    <t>Figure 2；PDF第7页／印刷第7页；上面板（Joy）；目标活动为黑色实心圆、实线连接；空心圆为Non-targeted Activity</t>
  </si>
  <si>
    <t>D0010</t>
  </si>
  <si>
    <t>维持</t>
  </si>
  <si>
    <t>Baseline（基线期） vs Maintenance（维持期）</t>
  </si>
  <si>
    <t>51,46,49</t>
  </si>
  <si>
    <t>D0011</t>
  </si>
  <si>
    <t>Evan</t>
  </si>
  <si>
    <t>5,7,17,10,5,12,2</t>
  </si>
  <si>
    <t>40,45,43,42,63,54,50,58,44,58,49,62,59,67,61,69</t>
  </si>
  <si>
    <t>Figure 2；PDF第7页／印刷第7页；中面板（Evan）；目标活动为黑色实心圆、实线连接；空心圆为Non-targeted Activity</t>
  </si>
  <si>
    <t>D0012</t>
  </si>
  <si>
    <t>57,62,59</t>
  </si>
  <si>
    <t>D0013</t>
  </si>
  <si>
    <t>Liam</t>
  </si>
  <si>
    <t>Figure 2；PDF第7页／印刷第7页；下面板（Liam）；目标活动为黑色实心圆、实线连接；空心圆为Non-targeted Activity</t>
  </si>
  <si>
    <t>待审核</t>
  </si>
  <si>
    <t>待审核：干预期部分实心点被空心点遮挡，原样例依据可见边缘或连线估读，尚需核实实际数值。</t>
  </si>
  <si>
    <t>D0014</t>
  </si>
  <si>
    <t>27,20,17,30,25,15,22,19,20,12</t>
  </si>
  <si>
    <t>61,63,62</t>
  </si>
  <si>
    <t>D0015</t>
  </si>
  <si>
    <t>Out-of-Seat Behaviors（离座行为）</t>
  </si>
  <si>
    <t>降低改善</t>
  </si>
  <si>
    <t>Figure 3；PDF第8页／印刷第8页；上面板（Joy）；目标活动为黑色实心圆、实线连接；空心圆为Non-targeted Activity</t>
  </si>
  <si>
    <t>D0016</t>
  </si>
  <si>
    <t>23,20,30,42</t>
  </si>
  <si>
    <t>5,8,3</t>
  </si>
  <si>
    <t>D0017</t>
  </si>
  <si>
    <t>Figure 3；PDF第8页／印刷第8页；中面板（Evan）；目标活动为黑色实心圆、实线连接；空心圆为Non-targeted Activity</t>
  </si>
  <si>
    <t>D0018</t>
  </si>
  <si>
    <t>23,18,33,35,38,29,35</t>
  </si>
  <si>
    <t>4,5,3</t>
  </si>
  <si>
    <t>D0019</t>
  </si>
  <si>
    <t>Figure 3；PDF第8页／印刷第8页；下面板（Liam）；目标活动为黑色实心圆、实线连接；空心圆为Non-targeted Activity</t>
  </si>
  <si>
    <t>D0020</t>
  </si>
  <si>
    <t>48,50,47,52,45,57,45,49,53,51</t>
  </si>
  <si>
    <t>7,10,6</t>
  </si>
  <si>
    <t>D0021</t>
  </si>
  <si>
    <t>10 Haley 2010</t>
  </si>
  <si>
    <t>Sean</t>
  </si>
  <si>
    <t>vocal stereotypy（刻板发声）</t>
  </si>
  <si>
    <t>baseline（基线期） vs intervention (red card)（干预期的红卡条件）</t>
  </si>
  <si>
    <t>53,40,56,50,43</t>
  </si>
  <si>
    <t>28,28,20,18,20,27,23,18,12</t>
  </si>
  <si>
    <t>Figure 1；PDF第9页／印刷第317页；Sean单面板；第1次baseline→intervention（sessions 1–5、6–14）；baseline实心菱形，red card实心方块，green card实心三角</t>
  </si>
  <si>
    <t>D0022</t>
  </si>
  <si>
    <t>48,34,48,43</t>
  </si>
  <si>
    <t>27,12,20,22,27,12,10</t>
  </si>
  <si>
    <t>Figure 1；PDF第9页／印刷第317页；Sean单面板；第2次baseline→intervention（sessions 15–17、18–24）；baseline实心菱形，red card实心方块，green card实心三角</t>
  </si>
  <si>
    <t>D0023</t>
  </si>
  <si>
    <t>01 Bock 2007</t>
  </si>
  <si>
    <t>Bill</t>
  </si>
  <si>
    <t>% of time in cooperative learning（参与合作学习的时间百分比）</t>
  </si>
  <si>
    <t>Baseline（基线期） vs Intervention（干预期）</t>
  </si>
  <si>
    <t>9.9,9,11</t>
  </si>
  <si>
    <t>68.2,65.3,66.3,67.1,69.1,63.2,72.2,75,73.2,78,80.1,81,82</t>
  </si>
  <si>
    <t>Figure 4；PDF第7页／印刷第264页；上面板（cooperative learning）；Bill实心方块；Peer实心圆</t>
  </si>
  <si>
    <t>D0024</t>
  </si>
  <si>
    <t>85.9,88,84.9,88.8</t>
  </si>
  <si>
    <t>D0025</t>
  </si>
  <si>
    <t>% of time spent game playing（参与棋盘游戏的时间百分比）</t>
  </si>
  <si>
    <t>15.5,16.8,14,15.4,13.9,13.1,15.4</t>
  </si>
  <si>
    <t>73.6,78.1,76.6,75,78,83.1,81.7,84.4,83.7</t>
  </si>
  <si>
    <t>Figure 4；PDF第7页／印刷第264页；中面板（game playing）；Bill实心方块；Peer实心圆</t>
  </si>
  <si>
    <t>D0026</t>
  </si>
  <si>
    <t>89.8,91.1,92.5,91.8</t>
  </si>
  <si>
    <t>D0027</t>
  </si>
  <si>
    <t>% of time spent visiting at lunch（午餐期间与同伴交谈的时间百分比）</t>
  </si>
  <si>
    <t>Figure 4；PDF第7页／印刷第264页；下面板（visiting at lunch）；Bill实心方块；Peer实心圆</t>
  </si>
  <si>
    <t>待审核：基线方形标记与横轴重叠，原样例依据标记上缘和边长推算中心，尚需核实真实读值。</t>
  </si>
  <si>
    <t>D0028</t>
  </si>
  <si>
    <t>D0029</t>
  </si>
  <si>
    <t>001-A</t>
  </si>
  <si>
    <t>Wilmer</t>
  </si>
  <si>
    <t>Social Communication Exchanges（社交沟通互动）</t>
  </si>
  <si>
    <t>Baseline（基线期） vs MC PMI（多成分同伴介入干预）</t>
  </si>
  <si>
    <t>1,1,0,1,1</t>
  </si>
  <si>
    <t>0,2,0,1,4,4,3,1,3,6,4,6,10,13,7</t>
  </si>
  <si>
    <t>次/观察</t>
  </si>
  <si>
    <t>Figure 1；PDF第12页／印刷第12页；上面板（Wilmer &amp; Malik）；黑色实心圆、实线连接。</t>
  </si>
  <si>
    <t>GPT</t>
  </si>
  <si>
    <t>已提取</t>
  </si>
  <si>
    <t>D0030</t>
  </si>
  <si>
    <t>5,5,5</t>
  </si>
  <si>
    <t>D0031</t>
  </si>
  <si>
    <t>Baseline (generalization probes)（基线期的泛化测查） vs MC PMI (generalization probes)（多成分同伴介入干预期的泛化测查）</t>
  </si>
  <si>
    <t>1</t>
  </si>
  <si>
    <t>0,5,6</t>
  </si>
  <si>
    <t>无法判断</t>
  </si>
  <si>
    <t>Figure 1；PDF第12页／印刷第12页；上面板（Wilmer &amp; Malik）；黑色实心三角（Gen Probe）。</t>
  </si>
  <si>
    <t>前段仅1个观察点，无法检验基线趋势。</t>
  </si>
  <si>
    <t>D0032</t>
  </si>
  <si>
    <t>Baseline (generalization probes)（基线期的泛化测查） vs Maintenance (generalization probes)（维持期的泛化测查）</t>
  </si>
  <si>
    <t>5</t>
  </si>
  <si>
    <t>D0033</t>
  </si>
  <si>
    <t>Olin</t>
  </si>
  <si>
    <t>1,1,4,4,5,6,3</t>
  </si>
  <si>
    <t>15,12,10,11,7,10,12,16,12,22,14,17,10,9,16</t>
  </si>
  <si>
    <t>Figure 1；PDF第12页／印刷第12页；中面板（Olin &amp; Olga）；黑色实心圆、实线连接。</t>
  </si>
  <si>
    <t>D0034</t>
  </si>
  <si>
    <t>17,16,18</t>
  </si>
  <si>
    <t>D0035</t>
  </si>
  <si>
    <t>8</t>
  </si>
  <si>
    <t>7,8,4</t>
  </si>
  <si>
    <t>Figure 1；PDF第12页／印刷第12页；中面板（Olin &amp; Olga）；黑色实心三角（Gen Probe）。</t>
  </si>
  <si>
    <t>D0036</t>
  </si>
  <si>
    <t>9</t>
  </si>
  <si>
    <t>D0037</t>
  </si>
  <si>
    <t>Titus</t>
  </si>
  <si>
    <t>0,0,0,0,0,0,0,0,0</t>
  </si>
  <si>
    <t>8,7,11,15,16,11,9,9,11,10,10,9,6,4,11</t>
  </si>
  <si>
    <t>不校正</t>
  </si>
  <si>
    <t>Figure 1；PDF第12页／印刷第12页；下面板（Titus &amp; Aria）；黑色实心圆、实线连接。</t>
  </si>
  <si>
    <t>基线数值恒定，τ-b与p无定义；无基线趋势可校正。</t>
  </si>
  <si>
    <t>D0038</t>
  </si>
  <si>
    <t>13,7,8</t>
  </si>
  <si>
    <t>D0039</t>
  </si>
  <si>
    <t>0</t>
  </si>
  <si>
    <t>5,0,1</t>
  </si>
  <si>
    <t>Figure 1；PDF第12页／印刷第12页；下面板（Titus &amp; Aria）；黑色实心三角（Gen Probe）。</t>
  </si>
  <si>
    <t>D0040</t>
  </si>
  <si>
    <t>3</t>
  </si>
  <si>
    <t>D0041</t>
  </si>
  <si>
    <t>Social Initiations（社交发起）</t>
  </si>
  <si>
    <t>3,3,3,3,3</t>
  </si>
  <si>
    <t>5,2,7,3,7,6,6,5,5,10,4,4,11,13,11</t>
  </si>
  <si>
    <t>Figure 2；PDF第13页／印刷第13页；上面板（Wilmer）；黑色实心圆、实线连接。</t>
  </si>
  <si>
    <t>D0042</t>
  </si>
  <si>
    <t>9,5,7</t>
  </si>
  <si>
    <t>D0043</t>
  </si>
  <si>
    <t>1,6,10</t>
  </si>
  <si>
    <t>Figure 2；PDF第13页／印刷第13页；上面板（Wilmer）；黑色实心三角（Gen Probe）。</t>
  </si>
  <si>
    <t>D0044</t>
  </si>
  <si>
    <t>11</t>
  </si>
  <si>
    <t>D0045</t>
  </si>
  <si>
    <t>Social Responses（社交回应）</t>
  </si>
  <si>
    <t>0,0,0,1,1</t>
  </si>
  <si>
    <t>0,0,0,0,0,0,0,0,0,1,1,3,3,1,1</t>
  </si>
  <si>
    <t>Figure 2；PDF第13页／印刷第13页；上面板（Wilmer）；空心圆、实线连接。</t>
  </si>
  <si>
    <t>D0046</t>
  </si>
  <si>
    <t>3,4,3</t>
  </si>
  <si>
    <t>D0047</t>
  </si>
  <si>
    <t>0,0,2</t>
  </si>
  <si>
    <t>Figure 2；PDF第13页／印刷第13页；上面板（Wilmer）；空心三角（Gen Probe）。</t>
  </si>
  <si>
    <t>D0048</t>
  </si>
  <si>
    <t>D0049</t>
  </si>
  <si>
    <t>1,1,10,5,9,2,2</t>
  </si>
  <si>
    <t>3,5,11,16,17,12,18,9,24,19,22,24,9,16,16</t>
  </si>
  <si>
    <t>Figure 2；PDF第13页／印刷第13页；中面板（Olin）；黑色实心圆、实线连接。</t>
  </si>
  <si>
    <t>D0050</t>
  </si>
  <si>
    <t>14,9,16</t>
  </si>
  <si>
    <t>D0051</t>
  </si>
  <si>
    <t>8,18,9</t>
  </si>
  <si>
    <t>Figure 2；PDF第13页／印刷第13页；中面板（Olin）；黑色实心三角（Gen Probe）。</t>
  </si>
  <si>
    <t>D0052</t>
  </si>
  <si>
    <t>D0053</t>
  </si>
  <si>
    <t>1,1,2,6,4,1,2</t>
  </si>
  <si>
    <t>0,3,4,4,0,5,5,12,6,9,2,4,4,3,8</t>
  </si>
  <si>
    <t>Figure 2；PDF第13页／印刷第13页；中面板（Olin）；空心圆、实线连接。</t>
  </si>
  <si>
    <t>D0054</t>
  </si>
  <si>
    <t>7,10,9</t>
  </si>
  <si>
    <t>D0055</t>
  </si>
  <si>
    <t>3,4,2</t>
  </si>
  <si>
    <t>Figure 2；PDF第13页／印刷第13页；中面板（Olin）；空心三角（Gen Probe）。</t>
  </si>
  <si>
    <t>D0056</t>
  </si>
  <si>
    <t>6</t>
  </si>
  <si>
    <t>D0057</t>
  </si>
  <si>
    <t>1,0,2,0,1,0,0,2,2</t>
  </si>
  <si>
    <t>17,16,10,20,26,17,13,13,24,15,12,16,16,14,23</t>
  </si>
  <si>
    <t>Figure 2；PDF第13页／印刷第13页；下面板（Titus）；黑色实心圆、实线连接。</t>
  </si>
  <si>
    <t>D0058</t>
  </si>
  <si>
    <t>17,11,14</t>
  </si>
  <si>
    <t>D0059</t>
  </si>
  <si>
    <t>5,5</t>
  </si>
  <si>
    <t>Figure 2；PDF第13页／印刷第13页；下面板（Titus）；黑色实心三角（Gen Probe）。</t>
  </si>
  <si>
    <t>D0060</t>
  </si>
  <si>
    <t>2,6</t>
  </si>
  <si>
    <t>D0061</t>
  </si>
  <si>
    <t>1,1,6,1,0,3,1,0,0,0,1,0,0,0,0</t>
  </si>
  <si>
    <t>Figure 2；PDF第13页／印刷第13页；下面板（Titus）；空心圆、实线连接。</t>
  </si>
  <si>
    <t>D0062</t>
  </si>
  <si>
    <t>1,2,1</t>
  </si>
  <si>
    <t>D0063</t>
  </si>
  <si>
    <t>3,0</t>
  </si>
  <si>
    <t>Figure 2；PDF第13页／印刷第13页；下面板（Titus）；空心三角（Gen Probe）。</t>
  </si>
  <si>
    <t>D0064</t>
  </si>
  <si>
    <t>D0065</t>
  </si>
  <si>
    <t>002-A</t>
  </si>
  <si>
    <t>Emily</t>
  </si>
  <si>
    <t>Percentage of peer bids with a response（同伴共同注意发起获得回应的百分比）</t>
  </si>
  <si>
    <t>Baseline（基线期） vs Peer-mediated intervention（同伴介入干预）</t>
  </si>
  <si>
    <t>0,0,0,0,0,0</t>
  </si>
  <si>
    <t>100,100,100,100,100</t>
  </si>
  <si>
    <t>Figure 3；PDF第9页／印刷第9页；自上而下第2面板（Emily）；空心三角、实线连接，读左轴；灰柱为同伴邀请，排除。</t>
  </si>
  <si>
    <t>D0066</t>
  </si>
  <si>
    <t>Oliver</t>
  </si>
  <si>
    <t>83,100,100,75,60</t>
  </si>
  <si>
    <t>Figure 3；PDF第9页／印刷第9页；自上而下第3面板（Oliver）；空心三角、实线连接，读左轴；灰柱为同伴邀请，排除。</t>
  </si>
  <si>
    <t>D0067</t>
  </si>
  <si>
    <t>003-A</t>
  </si>
  <si>
    <t>Pre-Kindergarten班</t>
  </si>
  <si>
    <t>Aggregated Number of Discrete Social Bids（离散社交发起次数合计）</t>
  </si>
  <si>
    <t>0,0,1,0,0</t>
  </si>
  <si>
    <t>1,2,10,9</t>
  </si>
  <si>
    <t>次/班级观察</t>
  </si>
  <si>
    <t>Figure 1；PDF第8页／印刷第8页；上面板（Pre-Kindergarten）；基线/干预为黑色实心圆连线；空心三角Free-Play不取。</t>
  </si>
  <si>
    <t>D0068</t>
  </si>
  <si>
    <t>13</t>
  </si>
  <si>
    <t>Figure 1；PDF第8页／印刷第8页；上面板（Pre-Kindergarten）；基线/干预为黑色实心圆连线，维持为×（Outside）；空心三角Free-Play不取。</t>
  </si>
  <si>
    <t>D0069</t>
  </si>
  <si>
    <t>Early Preschool班</t>
  </si>
  <si>
    <t>4,5,1,3,3,0,0,0,0</t>
  </si>
  <si>
    <t>0,1,1,5,4,6,12,12</t>
  </si>
  <si>
    <t>Figure 1；PDF第8页／印刷第8页；中面板（Early Preschool）；基线/干预为黑色实心圆连线；空心三角Free-Play不取。</t>
  </si>
  <si>
    <t>D0070</t>
  </si>
  <si>
    <t>Figure 1；PDF第8页／印刷第8页；中面板（Early Preschool）；基线/干预为黑色实心圆连线，维持为×（Outside）；空心三角Free-Play不取。</t>
  </si>
  <si>
    <t>D0071</t>
  </si>
  <si>
    <t>Preschool班</t>
  </si>
  <si>
    <t>1,2,4,9,0,2,0,1,4,1,3,3,2,6,2,0</t>
  </si>
  <si>
    <t>2,0,3,6,8,10</t>
  </si>
  <si>
    <t>Figure 1；PDF第8页／印刷第8页；下面板（Preschool）；基线/干预为黑色实心圆连线；空心三角Free-Play不取。</t>
  </si>
  <si>
    <t>D0072</t>
  </si>
  <si>
    <t>4</t>
  </si>
  <si>
    <t>Figure 1；PDF第8页／印刷第8页；下面板（Preschool）；基线/干预为黑色实心圆连线，维持为×（Outside）；空心三角Free-Play不取。</t>
  </si>
  <si>
    <t>D0073</t>
  </si>
  <si>
    <t>007-A</t>
  </si>
  <si>
    <t>Adrian</t>
  </si>
  <si>
    <t>Interactions in the General Education Classroom（普通教育课堂中的互动）</t>
  </si>
  <si>
    <t>Baseline（基线期） vs Peer Support Arrangement with Goal Setting In General Education Setting（普通教育情境中结合目标设定的同伴支持安排）</t>
  </si>
  <si>
    <t>1,0,3,5,0</t>
  </si>
  <si>
    <t>36,13,37,21,17,25,17,10,21,11,18,15</t>
  </si>
  <si>
    <t>Figure 1；PDF第5页／印刷第7页；最上面板（Adrian）；实心圆、实线连接（Interactions in the General Education Classroom）。</t>
  </si>
  <si>
    <t>D0074</t>
  </si>
  <si>
    <t>Engagement（学业参与）</t>
  </si>
  <si>
    <t>43,31,39,68,20</t>
  </si>
  <si>
    <t>79,26,69,71,94,100,78,84,93,90,100,100</t>
  </si>
  <si>
    <t>Figure 1；PDF第5页／印刷第7页；最上面板（Adrian）；实心三角、实线连接（Engagement）。</t>
  </si>
  <si>
    <t>D0075</t>
  </si>
  <si>
    <t>Interactions at Lunch and Recess（午餐与课间休息时的互动）</t>
  </si>
  <si>
    <t>1,0,1,0,0</t>
  </si>
  <si>
    <t>Figure 1；PDF第5页／印刷第7页；最上面板（Adrian）；空心圆（Interactions at Lunch and Recess）。</t>
  </si>
  <si>
    <t>D0076</t>
  </si>
  <si>
    <t>Baseline（基线期） vs Goal Setting at Lunch and Recess（午餐及课间休息时的目标设定）</t>
  </si>
  <si>
    <t>10,10,12,5,7</t>
  </si>
  <si>
    <t>D0077</t>
  </si>
  <si>
    <t>009-A</t>
  </si>
  <si>
    <t>Regina</t>
  </si>
  <si>
    <t>Percentage of Independent Steps（独立完成步骤的百分比）</t>
  </si>
  <si>
    <t>Baseline（基线期） vs VM（视频示范）</t>
  </si>
  <si>
    <t>0,0,0</t>
  </si>
  <si>
    <t>17,58,75,83,75,75,92,66,92,100</t>
  </si>
  <si>
    <t>Figure 1；PDF第8页，印刷页8；上方面板 Amber/Regina；实心方形（Child w/ ASD，独立接受游戏邀请的步骤）；实心三角形为 Typical Peer。</t>
  </si>
  <si>
    <t>D0078</t>
  </si>
  <si>
    <t>待审核：维持阶段两个图示点与正文报告不一致，尚不能判定图或文字何者有误，需核实维持期数据。</t>
  </si>
  <si>
    <t>D0079</t>
  </si>
  <si>
    <t>Enzo</t>
  </si>
  <si>
    <t>0,0,0,0</t>
  </si>
  <si>
    <t>25,75,42,83,100,92,100,100</t>
  </si>
  <si>
    <t>Figure 1；PDF第8页，印刷页8；中间面板 Emi/Enzo；实心方形（Child w/ ASD，独立接受游戏邀请的步骤）；实心三角形为 Typical Peer。</t>
  </si>
  <si>
    <t>D0080</t>
  </si>
  <si>
    <t>100,100</t>
  </si>
  <si>
    <t>D0081</t>
  </si>
  <si>
    <t>Xane</t>
  </si>
  <si>
    <t>Figure 1；PDF第8页，印刷页8；下方面板 Milo/Xane；实心方形（Child w/ ASD，独立接受游戏邀请的步骤）；实心三角形为 Typical Peer。</t>
  </si>
  <si>
    <t>待审核：首个干预观察点的图示读值与正文描述不一致，需核实该点后确认完整干预序列。</t>
  </si>
  <si>
    <t>D0082</t>
  </si>
  <si>
    <t>待审核：维持阶段两个图示点与正文报告的水平不一致，需核实原始观察记录和维持期数值。</t>
  </si>
  <si>
    <t>D0083</t>
  </si>
  <si>
    <t>010-A</t>
  </si>
  <si>
    <t>Yaoyao（同伴1）</t>
  </si>
  <si>
    <t>Social initiations（社交发起）</t>
  </si>
  <si>
    <t>Baseline（基线期） vs Intervention 1（第一干预阶段）</t>
  </si>
  <si>
    <t>0,0,1,0,2</t>
  </si>
  <si>
    <t>11,11,17,13,13</t>
  </si>
  <si>
    <t>次/游戏观察</t>
  </si>
  <si>
    <t>Figure 1；PDF第7页／印刷第7页；上面板（Yaoyao，Peer 1，图未印同伴号，按面板顺序）；黑色实心圆、实线连接。</t>
  </si>
  <si>
    <t>D0084</t>
  </si>
  <si>
    <t>Baseline（基线期） vs Intervention 2（第二干预阶段）</t>
  </si>
  <si>
    <t>22,24,14,18,26,27</t>
  </si>
  <si>
    <t>D0085</t>
  </si>
  <si>
    <t>Baseline（基线期） vs Follow-up（追踪期）</t>
  </si>
  <si>
    <t>27,21,23</t>
  </si>
  <si>
    <t>Figure 1；PDF第7页／印刷第7页；上面板（Yaoyao，Peer 1，图未印同伴号，按面板顺序）；黑色实心圆、实线连接；Follow-up为1wk、3wk、5wk离散点。</t>
  </si>
  <si>
    <t>D0086</t>
  </si>
  <si>
    <t>Social responses（社交回应）</t>
  </si>
  <si>
    <t>20,21,21,20,21</t>
  </si>
  <si>
    <t>Figure 1；PDF第7页／印刷第7页；上面板（Yaoyao，Peer 1，图未印同伴号，按面板顺序）；黑色实心三角、实线连接。</t>
  </si>
  <si>
    <t>D0087</t>
  </si>
  <si>
    <t>30,31,18,29,29,31</t>
  </si>
  <si>
    <t>D0088</t>
  </si>
  <si>
    <t>30,25,25</t>
  </si>
  <si>
    <t>Figure 1；PDF第7页／印刷第7页；上面板（Yaoyao，Peer 1，图未印同伴号，按面板顺序）；黑色实心三角、实线连接；Follow-up为1wk、3wk、5wk离散点。</t>
  </si>
  <si>
    <t>D0089</t>
  </si>
  <si>
    <t>Inappropriate social interactions（不恰当的社交互动）</t>
  </si>
  <si>
    <t>0,0,2,0,0</t>
  </si>
  <si>
    <t>6,7,9,6,8</t>
  </si>
  <si>
    <t>Figure 1；PDF第7页／印刷第7页；上面板（Yaoyao，Peer 1，图未印同伴号，按面板顺序）；黑色实心方块、实线连接。</t>
  </si>
  <si>
    <t>D0090</t>
  </si>
  <si>
    <t>4,1,1,0,2,2</t>
  </si>
  <si>
    <t>D0091</t>
  </si>
  <si>
    <t>2,1,2</t>
  </si>
  <si>
    <t>Figure 1；PDF第7页／印刷第7页；上面板（Yaoyao，Peer 1，图未印同伴号，按面板顺序）；黑色实心方块、实线连接；Follow-up为1wk、3wk、5wk离散点。</t>
  </si>
  <si>
    <t>D0092</t>
  </si>
  <si>
    <t>Yaoyao（同伴2）</t>
  </si>
  <si>
    <t>2,0,2,1,0</t>
  </si>
  <si>
    <t>10,8,6,6,9,7</t>
  </si>
  <si>
    <t>Figure 1；PDF第7页／印刷第7页；中面板（Yaoyao，Peer 2，图未印同伴号，按面板顺序）；黑色实心圆、实线连接。</t>
  </si>
  <si>
    <t>D0093</t>
  </si>
  <si>
    <t>13,13,14,16,26</t>
  </si>
  <si>
    <t>D0094</t>
  </si>
  <si>
    <t>24,19,24</t>
  </si>
  <si>
    <t>Figure 1；PDF第7页／印刷第7页；中面板（Yaoyao，Peer 2，图未印同伴号，按面板顺序）；黑色实心圆、实线连接；Follow-up为1wk、3wk、5wk离散点。</t>
  </si>
  <si>
    <t>D0095</t>
  </si>
  <si>
    <t>1,0,0,0,1</t>
  </si>
  <si>
    <t>7,14,9,4,6,10</t>
  </si>
  <si>
    <t>Figure 1；PDF第7页／印刷第7页；中面板（Yaoyao，Peer 2，图未印同伴号，按面板顺序）；黑色实心三角、实线连接。</t>
  </si>
  <si>
    <t>D0096</t>
  </si>
  <si>
    <t>12,24,30,25,31</t>
  </si>
  <si>
    <t>D0097</t>
  </si>
  <si>
    <t>29,17,18</t>
  </si>
  <si>
    <t>Figure 1；PDF第7页／印刷第7页；中面板（Yaoyao，Peer 2，图未印同伴号，按面板顺序）；黑色实心三角、实线连接；Follow-up为1wk、3wk、5wk离散点。</t>
  </si>
  <si>
    <t>D0098</t>
  </si>
  <si>
    <t>0,0,0,0,0</t>
  </si>
  <si>
    <t>5,3,2,7,2,3</t>
  </si>
  <si>
    <t>Figure 1；PDF第7页／印刷第7页；中面板（Yaoyao，Peer 2，图未印同伴号，按面板顺序）；黑色实心方块、实线连接。</t>
  </si>
  <si>
    <t>D0099</t>
  </si>
  <si>
    <t>4,3,3,4,1</t>
  </si>
  <si>
    <t>D0100</t>
  </si>
  <si>
    <t>1,3,0</t>
  </si>
  <si>
    <t>Figure 1；PDF第7页／印刷第7页；中面板（Yaoyao，Peer 2，图未印同伴号，按面板顺序）；黑色实心方块、实线连接；Follow-up为1wk、3wk、5wk离散点。</t>
  </si>
  <si>
    <t>D0101</t>
  </si>
  <si>
    <t>Yaoyao（同伴3）</t>
  </si>
  <si>
    <t>0,1,0,0,1</t>
  </si>
  <si>
    <t>4,6,5,13,12,10,10,20</t>
  </si>
  <si>
    <t>Figure 1；PDF第7页／印刷第7页；下面板（Yaoyao，Peer 3，图未印同伴号，按面板顺序）；黑色实心圆、实线连接。</t>
  </si>
  <si>
    <t>D0102</t>
  </si>
  <si>
    <t>30,30,35,38,37</t>
  </si>
  <si>
    <t>D0103</t>
  </si>
  <si>
    <t>28,28,28</t>
  </si>
  <si>
    <t>Figure 1；PDF第7页／印刷第7页；下面板（Yaoyao，Peer 3，图未印同伴号，按面板顺序）；黑色实心圆、实线连接；Follow-up为1wk、3wk、5wk离散点。</t>
  </si>
  <si>
    <t>D0104</t>
  </si>
  <si>
    <t>5,8,7,22,16,9,17,25</t>
  </si>
  <si>
    <t>Figure 1；PDF第7页／印刷第7页；下面板（Yaoyao，Peer 3，图未印同伴号，按面板顺序）；黑色实心三角、实线连接。</t>
  </si>
  <si>
    <t>D0105</t>
  </si>
  <si>
    <t>38,39,40,39,39</t>
  </si>
  <si>
    <t>D0106</t>
  </si>
  <si>
    <t>23,33,24</t>
  </si>
  <si>
    <t>Figure 1；PDF第7页／印刷第7页；下面板（Yaoyao，Peer 3，图未印同伴号，按面板顺序）；黑色实心三角、实线连接；Follow-up为1wk、3wk、5wk离散点。</t>
  </si>
  <si>
    <t>D0107</t>
  </si>
  <si>
    <t>4,3,1,1,0,2,1,4</t>
  </si>
  <si>
    <t>Figure 1；PDF第7页／印刷第7页；下面板（Yaoyao，Peer 3，图未印同伴号，按面板顺序）；黑色实心方块、实线连接。</t>
  </si>
  <si>
    <t>D0108</t>
  </si>
  <si>
    <t>0,1,2,2,1</t>
  </si>
  <si>
    <t>D0109</t>
  </si>
  <si>
    <t>2,1,4</t>
  </si>
  <si>
    <t>Figure 1；PDF第7页／印刷第7页；下面板（Yaoyao，Peer 3，图未印同伴号，按面板顺序）；黑色实心方块、实线连接；Follow-up为1wk、3wk、5wk离散点。</t>
  </si>
  <si>
    <t>D0110</t>
  </si>
  <si>
    <t>Baobao（同伴4）</t>
  </si>
  <si>
    <t>15,11,16,18,16</t>
  </si>
  <si>
    <t>Figure 2；PDF第8页／印刷第8页；上面板（Baobao，Peer 4）；黑色实心圆、实线连接。</t>
  </si>
  <si>
    <t>D0111</t>
  </si>
  <si>
    <t>0,1,0</t>
  </si>
  <si>
    <t>24,31,28,29,33,31</t>
  </si>
  <si>
    <t>D0112</t>
  </si>
  <si>
    <t>30,28,29</t>
  </si>
  <si>
    <t>Figure 2；PDF第8页／印刷第8页；上面板（Baobao，Peer 4）；黑色实心圆、实线连接；Follow-up为1wk、3wk、5wk离散点。</t>
  </si>
  <si>
    <t>D0113</t>
  </si>
  <si>
    <t>0,1,1,0,1</t>
  </si>
  <si>
    <t>23,20,24,25,25</t>
  </si>
  <si>
    <t>Figure 2；PDF第8页／印刷第8页；上面板（Baobao，Peer 4）；黑色实心三角、实线连接。</t>
  </si>
  <si>
    <t>D0114</t>
  </si>
  <si>
    <t>37,36,38,34,37,36</t>
  </si>
  <si>
    <t>D0115</t>
  </si>
  <si>
    <t>30,31,33</t>
  </si>
  <si>
    <t>Figure 2；PDF第8页／印刷第8页；上面板（Baobao，Peer 4）；黑色实心三角、实线连接；Follow-up为1wk、3wk、5wk离散点。</t>
  </si>
  <si>
    <t>D0116</t>
  </si>
  <si>
    <t>1,0,0,1,0</t>
  </si>
  <si>
    <t>1,1,2,0,1</t>
  </si>
  <si>
    <t>Figure 2；PDF第8页／印刷第8页；上面板（Baobao，Peer 4）；黑色实心方块、实线连接。</t>
  </si>
  <si>
    <t>D0117</t>
  </si>
  <si>
    <t>1,2,0</t>
  </si>
  <si>
    <t>0,1,0,0,0,0</t>
  </si>
  <si>
    <t>D0118</t>
  </si>
  <si>
    <t>Figure 2；PDF第8页／印刷第8页；上面板（Baobao，Peer 4）；黑色实心方块、实线连接；Follow-up为1wk、3wk、5wk离散点。</t>
  </si>
  <si>
    <t>D0119</t>
  </si>
  <si>
    <t>Baobao（同伴5）</t>
  </si>
  <si>
    <t>14,15,14,17,16,15</t>
  </si>
  <si>
    <t>Figure 2；PDF第8页／印刷第8页；中面板（Baobao，Peer 5）；黑色实心圆、实线连接。</t>
  </si>
  <si>
    <t>D0120</t>
  </si>
  <si>
    <t>1,0,3</t>
  </si>
  <si>
    <t>26,23,22,27,33</t>
  </si>
  <si>
    <t>D0121</t>
  </si>
  <si>
    <t>25,25,25</t>
  </si>
  <si>
    <t>Figure 2；PDF第8页／印刷第8页；中面板（Baobao，Peer 5）；黑色实心圆、实线连接；Follow-up为1wk、3wk、5wk离散点。</t>
  </si>
  <si>
    <t>D0122</t>
  </si>
  <si>
    <t>17,22,25,22,26,27</t>
  </si>
  <si>
    <t>Figure 2；PDF第8页／印刷第8页；中面板（Baobao，Peer 5）；黑色实心三角、实线连接。</t>
  </si>
  <si>
    <t>D0123</t>
  </si>
  <si>
    <t>2,2,0</t>
  </si>
  <si>
    <t>34,33,30,35,32</t>
  </si>
  <si>
    <t>D0124</t>
  </si>
  <si>
    <t>31,30,30</t>
  </si>
  <si>
    <t>Figure 2；PDF第8页／印刷第8页；中面板（Baobao，Peer 5）；黑色实心三角、实线连接；Follow-up为1wk、3wk、5wk离散点。</t>
  </si>
  <si>
    <t>D0125</t>
  </si>
  <si>
    <t>0,3,1,0,2</t>
  </si>
  <si>
    <t>2,0,2,0,0,0</t>
  </si>
  <si>
    <t>Figure 2；PDF第8页／印刷第8页；中面板（Baobao，Peer 5）；黑色实心方块、实线连接。</t>
  </si>
  <si>
    <t>D0126</t>
  </si>
  <si>
    <t>2,2,3</t>
  </si>
  <si>
    <t>1,0,0,0,0</t>
  </si>
  <si>
    <t>D0127</t>
  </si>
  <si>
    <t>Figure 2；PDF第8页／印刷第8页；中面板（Baobao，Peer 5）；黑色实心方块、实线连接；Follow-up为1wk、3wk、5wk离散点。</t>
  </si>
  <si>
    <t>D0128</t>
  </si>
  <si>
    <t>Baobao（同伴6）</t>
  </si>
  <si>
    <t>0,1,0,0,0</t>
  </si>
  <si>
    <t>15,18,16,11,17,15,14,16</t>
  </si>
  <si>
    <t>Figure 2；PDF第8页／印刷第8页；下面板（Baobao，Peer 6）；黑色实心圆、实线连接。</t>
  </si>
  <si>
    <t>D0129</t>
  </si>
  <si>
    <t>1,0,2</t>
  </si>
  <si>
    <t>33,36,31,32,36</t>
  </si>
  <si>
    <t>D0130</t>
  </si>
  <si>
    <t>33,33,32</t>
  </si>
  <si>
    <t>Figure 2；PDF第8页／印刷第8页；下面板（Baobao，Peer 6）；黑色实心圆、实线连接；Follow-up为1wk、3wk、5wk离散点。</t>
  </si>
  <si>
    <t>D0131</t>
  </si>
  <si>
    <t>1,1,0,0,1</t>
  </si>
  <si>
    <t>15,18,17,22,17,19,21,24</t>
  </si>
  <si>
    <t>Figure 2；PDF第8页／印刷第8页；下面板（Baobao，Peer 6）；黑色实心三角、实线连接。</t>
  </si>
  <si>
    <t>D0132</t>
  </si>
  <si>
    <t>1,1,0</t>
  </si>
  <si>
    <t>40,45,39,46,46</t>
  </si>
  <si>
    <t>D0133</t>
  </si>
  <si>
    <t>37,45,44</t>
  </si>
  <si>
    <t>Figure 2；PDF第8页／印刷第8页；下面板（Baobao，Peer 6）；黑色实心三角、实线连接；Follow-up为1wk、3wk、5wk离散点。</t>
  </si>
  <si>
    <t>D0134</t>
  </si>
  <si>
    <t>0,1,2,0,0</t>
  </si>
  <si>
    <t>0,0,0,1,0,0,1,0</t>
  </si>
  <si>
    <t>Figure 2；PDF第8页／印刷第8页；下面板（Baobao，Peer 6）；黑色实心方块、实线连接。</t>
  </si>
  <si>
    <t>D0135</t>
  </si>
  <si>
    <t>D0136</t>
  </si>
  <si>
    <t>Figure 2；PDF第8页／印刷第8页；下面板（Baobao，Peer 6）；黑色实心方块、实线连接；Follow-up为1wk、3wk、5wk离散点。</t>
  </si>
  <si>
    <t>D0137</t>
  </si>
  <si>
    <t>Engagement in social play（社交游戏参与）</t>
  </si>
  <si>
    <t>50,53.3,83.4,75,60.1</t>
  </si>
  <si>
    <t>Figure 5；PDF第12页／印刷第12页；上面板（Yaoyao，Peer 1）；黑色实心圆、实线连接。</t>
  </si>
  <si>
    <t>D0138</t>
  </si>
  <si>
    <t>80,100,100,62.5,96.2,100</t>
  </si>
  <si>
    <t>D0139</t>
  </si>
  <si>
    <t>96.5,100,65.5</t>
  </si>
  <si>
    <t>Figure 5；PDF第12页／印刷第12页；上面板（Yaoyao，Peer 1）；黑色实心圆、实线连接；Follow-up为1wk、3wk、5wk离散点。</t>
  </si>
  <si>
    <t>D0140</t>
  </si>
  <si>
    <t>0,0,3.4,0,0</t>
  </si>
  <si>
    <t>81.8,87.5,73.3,80.8,83.3,73.6</t>
  </si>
  <si>
    <t>Figure 5；PDF第12页／印刷第12页；中面板（Yaoyao，Peer 2）；黑色实心圆、实线连接。</t>
  </si>
  <si>
    <t>D0141</t>
  </si>
  <si>
    <t>80,57.6,90.6,88.2,90.9</t>
  </si>
  <si>
    <t>D0142</t>
  </si>
  <si>
    <t>80,100,85</t>
  </si>
  <si>
    <t>Figure 5；PDF第12页／印刷第12页；中面板（Yaoyao，Peer 2）；黑色实心圆、实线连接；Follow-up为1wk、3wk、5wk离散点。</t>
  </si>
  <si>
    <t>D0143</t>
  </si>
  <si>
    <t>0,6.7,0,0,0</t>
  </si>
  <si>
    <t>93.1,86.8,53.6,75.1,100,86.1,88.5,80.7</t>
  </si>
  <si>
    <t>Figure 5；PDF第12页／印刷第12页；下面板（Yaoyao，Peer 3）；黑色实心圆、实线连接。</t>
  </si>
  <si>
    <t>D0144</t>
  </si>
  <si>
    <t>93.7,87.5,96.8,94.4,100</t>
  </si>
  <si>
    <t>D0145</t>
  </si>
  <si>
    <t>81.8,72.7,75.8</t>
  </si>
  <si>
    <t>Figure 5；PDF第12页／印刷第12页；下面板（Yaoyao，Peer 3）；黑色实心圆、实线连接；Follow-up为1wk、3wk、5wk离散点。</t>
  </si>
  <si>
    <t>D0146</t>
  </si>
  <si>
    <t>0,0,0,3.3,0</t>
  </si>
  <si>
    <t>53.3,75,83.3,75,75</t>
  </si>
  <si>
    <t>Figure 6；PDF第13页／印刷第13页；上面板（Baobao，Peer 4）；黑色实心圆、实线连接。</t>
  </si>
  <si>
    <t>D0147</t>
  </si>
  <si>
    <t>0,3.3,0</t>
  </si>
  <si>
    <t>100,100,100,95.1,93.7,100</t>
  </si>
  <si>
    <t>D0148</t>
  </si>
  <si>
    <t>100,100,95.1</t>
  </si>
  <si>
    <t>Figure 6；PDF第13页／印刷第13页；上面板（Baobao，Peer 4）；黑色实心圆、实线连接；Follow-up为1wk、3wk、5wk离散点。</t>
  </si>
  <si>
    <t>D0149</t>
  </si>
  <si>
    <t>0,3.3,0,0,0</t>
  </si>
  <si>
    <t>75,73.5,83.3,80.8,83.3,90.9</t>
  </si>
  <si>
    <t>Figure 6；PDF第13页／印刷第13页；中面板（Baobao，Peer 5）；黑色实心圆、实线连接。</t>
  </si>
  <si>
    <t>D0150</t>
  </si>
  <si>
    <t>83.4,100,95.1,100,93.7</t>
  </si>
  <si>
    <t>D0151</t>
  </si>
  <si>
    <t>87.5,100,100</t>
  </si>
  <si>
    <t>Figure 6；PDF第13页／印刷第13页；中面板（Baobao，Peer 5）；黑色实心圆、实线连接；Follow-up为1wk、3wk、5wk离散点。</t>
  </si>
  <si>
    <t>D0152</t>
  </si>
  <si>
    <t>0,6.7,6.7,3.3,0</t>
  </si>
  <si>
    <t>93.1,87.5,75,100,100,93.1,93.8,100</t>
  </si>
  <si>
    <t>Figure 6；PDF第13页／印刷第13页；下面板（Baobao，Peer 6）；黑色实心圆、实线连接。</t>
  </si>
  <si>
    <t>D0153</t>
  </si>
  <si>
    <t>0,0,3.3</t>
  </si>
  <si>
    <t>93.7,93.8,100,100,100</t>
  </si>
  <si>
    <t>D0154</t>
  </si>
  <si>
    <t>87.5,93.8,93.8</t>
  </si>
  <si>
    <t>Figure 6；PDF第13页／印刷第13页；下面板（Baobao，Peer 6）；黑色实心圆、实线连接；Follow-up为1wk、3wk、5wk离散点。</t>
  </si>
  <si>
    <t>D0155</t>
  </si>
  <si>
    <t>011-A</t>
  </si>
  <si>
    <t>James</t>
  </si>
  <si>
    <t>On-task behaviour（在任务行为）</t>
  </si>
  <si>
    <t>Figure 1；PDF第7页／印刷第7页；第1（上）面板（James）；黑色实心圆、实线连接；灰三角为Intervention fidelity，排除。</t>
  </si>
  <si>
    <t>待审核：基线第11次观察的图示读值超出正文报告范围，图文最大值冲突，需核实该点。</t>
  </si>
  <si>
    <t>D0156</t>
  </si>
  <si>
    <t>Figure 1；PDF第7页／印刷第7页；第1（上）面板（James）；黑色实心圆、实线连接；维持为最右单点；灰三角为Intervention fidelity，排除。</t>
  </si>
  <si>
    <t>D0157</t>
  </si>
  <si>
    <t>Aaron</t>
  </si>
  <si>
    <t>80,26.7,43.4,19.5,36.7,33.4</t>
  </si>
  <si>
    <t>47.5,62.9,58,63.3,68.4</t>
  </si>
  <si>
    <t>Figure 1；PDF第7页／印刷第7页；第2面板（Aaron）；黑色实心圆、实线连接；灰三角为Intervention fidelity，排除。</t>
  </si>
  <si>
    <t>D0158</t>
  </si>
  <si>
    <t>Edward</t>
  </si>
  <si>
    <t>11.1,9.5,26.1,0,0,5.4</t>
  </si>
  <si>
    <t>59.1,56.6,65.6,78.4</t>
  </si>
  <si>
    <t>Figure 1；PDF第7页／印刷第7页；第3面板（Edward）；黑色实心圆、实线连接；灰三角为Intervention fidelity，排除。</t>
  </si>
  <si>
    <t>D0159</t>
  </si>
  <si>
    <t>Sam</t>
  </si>
  <si>
    <t>Figure 1；PDF第7页／印刷第7页；第4（下）面板（Sam）；黑色实心圆、实线连接；灰三角为Intervention fidelity，排除。</t>
  </si>
  <si>
    <t>待审核：干预第39次观察的图示读值低于正文报告范围，图文最小值冲突，需核实该点。</t>
  </si>
  <si>
    <t>D0160</t>
  </si>
  <si>
    <t>Off-task behaviours（离任务行为）</t>
  </si>
  <si>
    <t>84,46.2,59.5,55,47.6,52.6</t>
  </si>
  <si>
    <t>47.4,63,46.7,52.9,28.3,48.3,36.7,18.7</t>
  </si>
  <si>
    <t>Figure 2；PDF第8页／印刷第8页；第1（上）面板（James）；黑色实心圆、实线连接。</t>
  </si>
  <si>
    <t>D0161</t>
  </si>
  <si>
    <t>60</t>
  </si>
  <si>
    <t>Figure 2；PDF第8页／印刷第8页；第1（上）面板（James）；黑色实心圆、实线连接；维持为最右单点。</t>
  </si>
  <si>
    <t>D0162</t>
  </si>
  <si>
    <t>14.2,49.9,43.2,72.3,39.9,21.6</t>
  </si>
  <si>
    <t>25.4,0,26.3,57.1,6.6</t>
  </si>
  <si>
    <t>Figure 2；PDF第8页／印刷第8页；第2面板（Aaron）；黑色实心圆、实线连接。</t>
  </si>
  <si>
    <t>D0163</t>
  </si>
  <si>
    <t>Figure 2；PDF第8页／印刷第8页；第3面板（Edward）；黑色实心圆、实线连接。</t>
  </si>
  <si>
    <t>待审核：基线及干预图示均值与正文不符，且正文干预均值不在其所报范围内，尚无法定位具体错误。</t>
  </si>
  <si>
    <t>D0164</t>
  </si>
  <si>
    <t>Figure 2；PDF第8页／印刷第8页；第4（下）面板（Sam）；黑色实心圆、实线连接。</t>
  </si>
  <si>
    <t>待审核：基线第22次观察的图示读值超出正文报告范围，图文最大值冲突，需核实该点。</t>
  </si>
  <si>
    <t>D0165</t>
  </si>
  <si>
    <t>Number of words written（书写单词数）</t>
  </si>
  <si>
    <t>28,0,68,26,67,27</t>
  </si>
  <si>
    <t>55,70,41,72,69,81,148</t>
  </si>
  <si>
    <t>词</t>
  </si>
  <si>
    <t>Figure 4；PDF第10页／印刷第10页；上面板（James）；黑色实心圆、实线连接。</t>
  </si>
  <si>
    <t>D0166</t>
  </si>
  <si>
    <t>16</t>
  </si>
  <si>
    <t>Figure 4；PDF第10页／印刷第10页；上面板（James）；黑色实心圆、实线连接；维持为最右单点。</t>
  </si>
  <si>
    <t>D0167</t>
  </si>
  <si>
    <t>72,50,15,10</t>
  </si>
  <si>
    <t>78,121,116</t>
  </si>
  <si>
    <t>Figure 4；PDF第10页／印刷第10页；中面板（Aaron）；黑色实心圆、实线连接。</t>
  </si>
  <si>
    <t>D0168</t>
  </si>
  <si>
    <t>40,111,144</t>
  </si>
  <si>
    <t>98,86,86</t>
  </si>
  <si>
    <t>Figure 4；PDF第10页／印刷第10页；下面板（Sam）；黑色实心圆、实线连接。</t>
  </si>
  <si>
    <t>D0169</t>
  </si>
  <si>
    <t>013-A</t>
  </si>
  <si>
    <t>1名学生（13岁）</t>
  </si>
  <si>
    <t>Subject-Verb Agreement (Number of errors)（主谓一致错误数）</t>
  </si>
  <si>
    <t>Baseline（基线期） vs Intervention- PMI（同伴介入干预期）</t>
  </si>
  <si>
    <t>错误次数</t>
  </si>
  <si>
    <t>Figure 1；PDF第7页，印刷页7；上方面板 Subject-Verb Agreement；实心圆形；纵轴 Number of errors。</t>
  </si>
  <si>
    <t>待审核：干预图有8个观察点，正文同时写8天和5次，观测点数及各次记录的对应关系需核实。</t>
  </si>
  <si>
    <t>D0170</t>
  </si>
  <si>
    <t>待审核：维持点所在面板与底部横轴不能准确对应，阶段内先后可辨，但准确会话号仍需核实。</t>
  </si>
  <si>
    <t>D0171</t>
  </si>
  <si>
    <t>Spelling (Number of errors)（拼写错误数）</t>
  </si>
  <si>
    <t>5,6,7,6,5,6,7,7,7,6,7</t>
  </si>
  <si>
    <t>4,3,3,2,3,3,2,2,2</t>
  </si>
  <si>
    <t>Figure 1；PDF第7页，印刷页7；中间面板 Spelling；实心圆形；纵轴 Number of errors。</t>
  </si>
  <si>
    <t>D0172</t>
  </si>
  <si>
    <t>D0173</t>
  </si>
  <si>
    <t>Punctuation (Number of errors)（标点使用错误数）</t>
  </si>
  <si>
    <t>Figure 1；PDF第7页，印刷页7；下方面板 Punctuation；实心圆形；纵轴 Number of errors。</t>
  </si>
  <si>
    <t>待审核：干预图有7个观察点，正文同时写7天和8次，观测点数及各次记录的对应关系需核实。</t>
  </si>
  <si>
    <t>D0174</t>
  </si>
  <si>
    <t>5,4,6,6,5,6,8,7,6,7,7,6,6,8,7,5,6</t>
  </si>
  <si>
    <t>2,2</t>
  </si>
  <si>
    <t>D0175</t>
  </si>
  <si>
    <t>016-A</t>
  </si>
  <si>
    <t>Eve（同伴Jamie）</t>
  </si>
  <si>
    <t>communication to peer（向同伴发出的沟通行为）</t>
  </si>
  <si>
    <t>Figure 1；PDF第4页，印刷页4 of 7；上方面板 Jamie（Eve与该同伴）；实心方形（Com）；圆形为同伴 PRT 使用。</t>
  </si>
  <si>
    <t>待审核：相关面板与底部横轴的缩放不一致，阶段内先后可辨，但准确会话号及跨面板对应关系未确认。</t>
  </si>
  <si>
    <t>D0176</t>
  </si>
  <si>
    <t>D0177</t>
  </si>
  <si>
    <t>Baseline（基线期） vs Intervention (Generalization)（干预期的泛化测查）</t>
  </si>
  <si>
    <t>Figure 1；PDF第4页，印刷页4 of 7；上方面板 Jamie（Eve与该同伴）；空心方形（Com gen）；圆形为同伴 PRT 使用。</t>
  </si>
  <si>
    <t>D0178</t>
  </si>
  <si>
    <t>Baseline（基线期） vs Follow-up (Generalization)（追踪期的泛化测查）</t>
  </si>
  <si>
    <t>D0179</t>
  </si>
  <si>
    <t>play with peer（与同伴游戏）</t>
  </si>
  <si>
    <t>Figure 1；PDF第4页，印刷页4 of 7；上方面板 Jamie（Eve与该同伴）；实心三角形（Play）；圆形为同伴 PRT 使用。</t>
  </si>
  <si>
    <t>D0180</t>
  </si>
  <si>
    <t>D0181</t>
  </si>
  <si>
    <t>Figure 1；PDF第4页，印刷页4 of 7；上方面板 Jamie（Eve与该同伴）；空心三角形（Play gen）；圆形为同伴 PRT 使用。</t>
  </si>
  <si>
    <t>D0182</t>
  </si>
  <si>
    <t>D0183</t>
  </si>
  <si>
    <t>Eve（同伴Ashley）</t>
  </si>
  <si>
    <t>Figure 1；PDF第4页，印刷页4 of 7；中间面板 Ashley（Eve与该同伴）；实心方形（Com）；圆形为同伴 PRT 使用。</t>
  </si>
  <si>
    <t>D0184</t>
  </si>
  <si>
    <t>D0185</t>
  </si>
  <si>
    <t>Figure 1；PDF第4页，印刷页4 of 7；中间面板 Ashley（Eve与该同伴）；空心方形（Com gen）；圆形为同伴 PRT 使用。</t>
  </si>
  <si>
    <t>D0186</t>
  </si>
  <si>
    <t>Figure 1；PDF第4页，印刷页4 of 7；中间面板 Ashley（Eve与该同伴）；实心三角形（Play）；圆形为同伴 PRT 使用。</t>
  </si>
  <si>
    <t>D0187</t>
  </si>
  <si>
    <t>D0188</t>
  </si>
  <si>
    <t>Figure 1；PDF第4页，印刷页4 of 7；中间面板 Ashley（Eve与该同伴）；空心三角形（Play gen）；圆形为同伴 PRT 使用。</t>
  </si>
  <si>
    <t>D0189</t>
  </si>
  <si>
    <t>Eve（同伴Lily）</t>
  </si>
  <si>
    <t>4,0,0,4,4,0</t>
  </si>
  <si>
    <t>14,7,0,54,21,11</t>
  </si>
  <si>
    <t>Figure 1；PDF第4页，印刷页4 of 7；下方面板 Lily（Eve与该同伴）；实心方形（Com）；圆形为同伴 PRT 使用。</t>
  </si>
  <si>
    <t>D0190</t>
  </si>
  <si>
    <t>39</t>
  </si>
  <si>
    <t>D0191</t>
  </si>
  <si>
    <t>4,7</t>
  </si>
  <si>
    <t>14,11</t>
  </si>
  <si>
    <t>Figure 1；PDF第4页，印刷页4 of 7；下方面板 Lily（Eve与该同伴）；空心方形（Com gen）；圆形为同伴 PRT 使用。</t>
  </si>
  <si>
    <t>D0192</t>
  </si>
  <si>
    <t>39,79,36,7,4,21</t>
  </si>
  <si>
    <t>50,21,7,64,89,86</t>
  </si>
  <si>
    <t>Figure 1；PDF第4页，印刷页4 of 7；下方面板 Lily（Eve与该同伴）；实心三角形（Play）；圆形为同伴 PRT 使用。</t>
  </si>
  <si>
    <t>D0193</t>
  </si>
  <si>
    <t>54</t>
  </si>
  <si>
    <t>D0194</t>
  </si>
  <si>
    <t>0,46</t>
  </si>
  <si>
    <t>14,14</t>
  </si>
  <si>
    <t>Figure 1；PDF第4页，印刷页4 of 7；下方面板 Lily（Eve与该同伴）；空心三角形（Play gen）；圆形为同伴 PRT 使用。</t>
  </si>
  <si>
    <t>D0195</t>
  </si>
  <si>
    <t>017-A</t>
  </si>
  <si>
    <t>Ben</t>
  </si>
  <si>
    <t>Comprehension Questions Answered Correctly（正确作答的理解题）</t>
  </si>
  <si>
    <t>待审核（Pre-Test（前测） / Post-Test（后测）；Modified（改编读物条件） / Non-Modified（未改编读物条件））</t>
  </si>
  <si>
    <t>正确题数（满分5）</t>
  </si>
  <si>
    <t>Figure 2；右侧上图 Ben；PDF第8页，印刷页60；空心与实心三角形、圆形分别显示各条件前后测，配对比较方式待审核。</t>
  </si>
  <si>
    <t>待审核：每次会话同时记录改编与未改编读物的前后测，需先确定比较哪些条件，以及如何对应成对观察。</t>
  </si>
  <si>
    <t>D0196</t>
  </si>
  <si>
    <t>Camilla</t>
  </si>
  <si>
    <t>Figure 3；右侧下图 Camilla；PDF第8页，印刷页60；空心与实心三角形、圆形分别显示各条件前后测，配对比较方式待审核。</t>
  </si>
  <si>
    <t>D0197</t>
  </si>
  <si>
    <t>021-A</t>
  </si>
  <si>
    <t>Zane</t>
  </si>
  <si>
    <t>Percentage of Peer Bids with a Target Child Response（同伴共同注意发起获得目标儿童回应的百分比）</t>
  </si>
  <si>
    <t>100,100,100,100,100,100,100,100,100,100,100</t>
  </si>
  <si>
    <t>Figure 1；PDF第6页，印刷页76；上方面板 Dyad 1（Zane）；实心黑色菱形、左纵轴（Target child responses）；空心圆形及右纵轴为同伴发起。</t>
  </si>
  <si>
    <t>D0198</t>
  </si>
  <si>
    <t>Rocky</t>
  </si>
  <si>
    <t>0,0,0,0,0,0,0</t>
  </si>
  <si>
    <t>100,100,100,100,100,100,100,100</t>
  </si>
  <si>
    <t>Figure 1；PDF第6页，印刷页76；中方面板 Dyad 2（Rocky）；实心黑色菱形、左纵轴（Target child responses）；空心圆形及右纵轴为同伴发起。</t>
  </si>
  <si>
    <t>D0199</t>
  </si>
  <si>
    <t>Robert</t>
  </si>
  <si>
    <t>Figure 1；PDF第6页，印刷页76；下方面板 Dyad 3（Robert）；实心黑色菱形、左纵轴（Target child responses）；空心圆形及右纵轴为同伴发起。</t>
  </si>
  <si>
    <t>待审核：干预第14、15次观察的图示读值与正文报告的范围及均值不一致，需核实这两个观察点。</t>
  </si>
  <si>
    <t>D0200</t>
  </si>
  <si>
    <t>022-A</t>
  </si>
  <si>
    <t>Carson</t>
  </si>
  <si>
    <t>Interactive play（互动游戏）</t>
  </si>
  <si>
    <t>Baseline（基线期） vs Teacher-SPT（教师支持的靠近—游戏—交谈同伴干预）</t>
  </si>
  <si>
    <t>17,6,4</t>
  </si>
  <si>
    <t>29,52,40,69,62,60</t>
  </si>
  <si>
    <t>Figure 1；PDF第10页，印刷页1604；自上而下第1面板 Dyad 1（Carson）；实心黑色圆形。</t>
  </si>
  <si>
    <t>D0201</t>
  </si>
  <si>
    <t>Baseline（基线期） vs Teacher-SPT (Generalization)（教师支持的靠近—游戏—交谈同伴干预的泛化测查）</t>
  </si>
  <si>
    <t>44</t>
  </si>
  <si>
    <t>Figure 1；PDF第10页，印刷页1604；自上而下第1面板 Dyad 1（Carson）；空心三角形（generalization probes）。</t>
  </si>
  <si>
    <t>D0202</t>
  </si>
  <si>
    <t>Owen</t>
  </si>
  <si>
    <t>24,1,5,0,0,5</t>
  </si>
  <si>
    <t>48,74,65,97,87</t>
  </si>
  <si>
    <t>Figure 1；PDF第10页，印刷页1604；自上而下第2面板 Dyad 2（Owen）；实心黑色圆形。</t>
  </si>
  <si>
    <t>D0203</t>
  </si>
  <si>
    <t>77</t>
  </si>
  <si>
    <t>Figure 1；PDF第10页，印刷页1604；自上而下第2面板 Dyad 2（Owen）；空心三角形（generalization probes）。</t>
  </si>
  <si>
    <t>D0204</t>
  </si>
  <si>
    <t>Noah</t>
  </si>
  <si>
    <t>22,0,6,8,0,0,0,10,8</t>
  </si>
  <si>
    <t>64,45,58,91,77</t>
  </si>
  <si>
    <t>Figure 1；PDF第10页，印刷页1604；自上而下第3面板 Dyad 3（Noah）；实心黑色圆形。</t>
  </si>
  <si>
    <t>D0205</t>
  </si>
  <si>
    <t>Baseline（基线期） vs Maintenance probes（维持效果测查）</t>
  </si>
  <si>
    <t>63,65</t>
  </si>
  <si>
    <t>Figure 1；PDF第10页，印刷页1604；自上而下第3面板 Dyad 3（Noah）；实心黑色圆形。最右侧两点为维持探测；定义见PDF第8页／印刷页1602。</t>
  </si>
  <si>
    <t>D0206</t>
  </si>
  <si>
    <t>28,4</t>
  </si>
  <si>
    <t>65,58</t>
  </si>
  <si>
    <t>Figure 1；PDF第10页，印刷页1604；自上而下第3面板 Dyad 3（Noah）；空心三角形（generalization probes）。</t>
  </si>
  <si>
    <t>D0207</t>
  </si>
  <si>
    <t>Sara</t>
  </si>
  <si>
    <t>0,0,0,0,0,0,0,0,0,0,0,0</t>
  </si>
  <si>
    <t>24,34,34,75,88,71,21,63,56,85,75</t>
  </si>
  <si>
    <t>Figure 1；PDF第10页，印刷页1604；自上而下第4面板 Dyad 4（Sara）；实心黑色圆形。</t>
  </si>
  <si>
    <t>D0208</t>
  </si>
  <si>
    <t>71,69</t>
  </si>
  <si>
    <t>Figure 1；PDF第10页，印刷页1604；自上而下第4面板 Dyad 4（Sara）；实心黑色圆形。最右侧两点为维持探测；定义见PDF第8页／印刷页1602。</t>
  </si>
  <si>
    <t>D0209</t>
  </si>
  <si>
    <t>0,0</t>
  </si>
  <si>
    <t>35,23</t>
  </si>
  <si>
    <t>Figure 1；PDF第10页，印刷页1604；自上而下第4面板 Dyad 4（Sara）；空心三角形（generalization probes）。</t>
  </si>
  <si>
    <t>D0210</t>
  </si>
  <si>
    <t>Participant Initiations（被试的社交发起）</t>
  </si>
  <si>
    <t>4,6,10</t>
  </si>
  <si>
    <t>0,11,10,17,6,19</t>
  </si>
  <si>
    <t>次/8分钟</t>
  </si>
  <si>
    <t>Figure 3；PDF第14页，印刷页1608；自上而下第1面板 Dyad 1（Carson）；实心圆形和实线（Participant Initiations）；虚线方形为同伴发起。</t>
  </si>
  <si>
    <t>D0211</t>
  </si>
  <si>
    <t>21,16,15,17,3,8</t>
  </si>
  <si>
    <t>11,26,30,42,23</t>
  </si>
  <si>
    <t>Figure 3；PDF第14页，印刷页1608；自上而下第2面板 Dyad 2（Owen）；实心圆形和实线（Participant Initiations）；虚线方形为同伴发起。</t>
  </si>
  <si>
    <t>D0212</t>
  </si>
  <si>
    <t>Figure 3；PDF第14页，印刷页1608；自上而下第2面板 Dyad 2（Owen）；空心圆形（Participant Initiations Gen.）。</t>
  </si>
  <si>
    <t>D0213</t>
  </si>
  <si>
    <t>14,2,6,7,1,3,5,5,1</t>
  </si>
  <si>
    <t>11,9,14,25,24</t>
  </si>
  <si>
    <t>Figure 3；PDF第14页，印刷页1608；自上而下第3面板 Dyad 3（Noah）；实心圆形和实线（Participant Initiations）；虚线方形为同伴发起。</t>
  </si>
  <si>
    <t>D0214</t>
  </si>
  <si>
    <t>16,13</t>
  </si>
  <si>
    <t>Figure 3；PDF第14页，印刷页1608；自上而下第3面板 Dyad 3（Noah）；实心圆形和实线（Participant Initiations）；虚线方形为同伴发起。最右侧两点为维持探测；定义见PDF第8页／印刷页1602。</t>
  </si>
  <si>
    <t>D0215</t>
  </si>
  <si>
    <t>7,6</t>
  </si>
  <si>
    <t>12,13</t>
  </si>
  <si>
    <t>Figure 3；PDF第14页，印刷页1608；自上而下第3面板 Dyad 3（Noah）；空心圆形（Participant Initiations Gen.）。</t>
  </si>
  <si>
    <t>D0216</t>
  </si>
  <si>
    <t>0,0,0,0,0,0,0,1,0,0,0,0</t>
  </si>
  <si>
    <t>4,2,1,14,11,10,2,6,10,2,10</t>
  </si>
  <si>
    <t>Figure 3；PDF第14页，印刷页1608；自上而下第4面板 Dyad 4（Sara）；实心圆形和实线（Participant Initiations）；虚线方形为同伴发起。</t>
  </si>
  <si>
    <t>D0217</t>
  </si>
  <si>
    <t>4,5</t>
  </si>
  <si>
    <t>Figure 3；PDF第14页，印刷页1608；自上而下第4面板 Dyad 4（Sara）；实心圆形和实线（Participant Initiations）；虚线方形为同伴发起。最右侧两点为维持探测；定义见PDF第8页／印刷页1602。</t>
  </si>
  <si>
    <t>D0218</t>
  </si>
  <si>
    <t>5,4</t>
  </si>
  <si>
    <t>Figure 3；PDF第14页，印刷页1608；自上而下第4面板 Dyad 4（Sara）；空心圆形（Participant Initiations Gen.）。</t>
  </si>
  <si>
    <t>D0219</t>
  </si>
  <si>
    <t>Solitary Play（独自游戏）</t>
  </si>
  <si>
    <t>71,42,38</t>
  </si>
  <si>
    <t>10,13,8,4,8,0</t>
  </si>
  <si>
    <t>Figure 2；PDF第12页，印刷页1606；自上而下第1面板 Dyad 1（Carson）；实心圆形和实线（Solitary Play）。</t>
  </si>
  <si>
    <t>D0220</t>
  </si>
  <si>
    <t>Figure 2；PDF第12页，印刷页1606；自上而下第1面板 Dyad 1（Carson）；空心圆形（Solitary Generalization）。</t>
  </si>
  <si>
    <t>D0221</t>
  </si>
  <si>
    <t>Parallel play (with social awareness)（平行游戏（伴有社会性觉察））</t>
  </si>
  <si>
    <t>待审核（Baseline（基线期） / Teacher-SPT（教师支持的靠近—游戏—交谈同伴干预） / SPT（撤除教师支持的靠近—游戏—交谈同伴干预））</t>
  </si>
  <si>
    <t>Figure 2；PDF第12页，印刷页1606；自上而下第1面板 Dyad 1（Carson）；实心方形和虚线（Parallel Play）；空心方形为 Parallel Generalization，比较条件待审核。</t>
  </si>
  <si>
    <t>待审核：原文对不同儿童平行游戏增加或减少均作积极解释，需先确定改善方向及本行采用的阶段比较。</t>
  </si>
  <si>
    <t>D0222</t>
  </si>
  <si>
    <t>13,8,52,31,34,19</t>
  </si>
  <si>
    <t>Figure 2；PDF第12页，印刷页1606；自上而下第2面板 Dyad 2（Owen）；实心圆形和实线（Solitary Play）。</t>
  </si>
  <si>
    <t>D0223</t>
  </si>
  <si>
    <t>85</t>
  </si>
  <si>
    <t>Figure 2；PDF第12页，印刷页1606；自上而下第2面板 Dyad 2（Owen）；空心圆形（Solitary Generalization）。</t>
  </si>
  <si>
    <t>D0224</t>
  </si>
  <si>
    <t>Figure 2；PDF第12页，印刷页1606；自上而下第2面板 Dyad 2（Owen）；实心方形和虚线（Parallel Play）；空心方形为 Parallel Generalization，比较条件待审核。</t>
  </si>
  <si>
    <t>D0225</t>
  </si>
  <si>
    <t>32,85,81,69,90,75,63,71,56</t>
  </si>
  <si>
    <t>2,17,13,0,17</t>
  </si>
  <si>
    <t>Figure 2；PDF第12页，印刷页1606；自上而下第3面板 Dyad 3（Noah）；实心圆形和实线（Solitary Play）。</t>
  </si>
  <si>
    <t>D0226</t>
  </si>
  <si>
    <t>21,6</t>
  </si>
  <si>
    <t>Figure 2；PDF第12页，印刷页1606；自上而下第3面板 Dyad 3（Noah）；实心圆形和实线（Solitary Play）。最右侧两点为维持探测；定义见PDF第8页／印刷页1602。</t>
  </si>
  <si>
    <t>D0227</t>
  </si>
  <si>
    <t>37,70</t>
  </si>
  <si>
    <t>15,21</t>
  </si>
  <si>
    <t>Figure 2；PDF第12页，印刷页1606；自上而下第3面板 Dyad 3（Noah）；空心圆形（Solitary Generalization）。</t>
  </si>
  <si>
    <t>D0228</t>
  </si>
  <si>
    <t>Figure 2；PDF第12页，印刷页1606；自上而下第3面板 Dyad 3（Noah）；实心方形和虚线（Parallel Play）；空心方形为 Parallel Generalization，比较条件待审核。</t>
  </si>
  <si>
    <t>D0229</t>
  </si>
  <si>
    <t>96,98,100,98,100,100,92,98,100,100,98,98</t>
  </si>
  <si>
    <t>54,42,46,10,6,15,66,6,15,2,10</t>
  </si>
  <si>
    <t>Figure 2；PDF第12页，印刷页1606；自上而下第4面板 Dyad 4（Sara）；实心圆形和实线（Solitary Play）。</t>
  </si>
  <si>
    <t>D0230</t>
  </si>
  <si>
    <t>Figure 2；PDF第12页，印刷页1606；自上而下第4面板 Dyad 4（Sara）；实心圆形和实线（Solitary Play）。最右侧两点为维持探测；定义见PDF第8页／印刷页1602。</t>
  </si>
  <si>
    <t>D0231</t>
  </si>
  <si>
    <t>Figure 2；PDF第12页，印刷页1606；自上而下第4面板 Dyad 4（Sara）；实心方形和虚线（Parallel Play）；空心方形为 Parallel Generalization，比较条件待审核。</t>
  </si>
  <si>
    <t>D0232</t>
  </si>
  <si>
    <t>025-A</t>
  </si>
  <si>
    <t>Murat</t>
  </si>
  <si>
    <t>Correct response percentage（正确回答百分比）</t>
  </si>
  <si>
    <t>Figure 1，PDF第27页／印刷页645；Murat 上方面板；纵轴“Correct response percentage”，实心菱形；Baseline与Intervention使用连线，Maintenance为右侧未连接的3个菱形（正文说明干预后1、2、4周，PDF第28页／646）。</t>
  </si>
  <si>
    <t>待审核：基线三个图示点的均值与正文报告不一致，尚不能确定哪个点或文字记录有误，需核实整个基线。</t>
  </si>
  <si>
    <t>D0233</t>
  </si>
  <si>
    <t>D0234</t>
  </si>
  <si>
    <t>pre-test session（前测） vs post-test session（后测）</t>
  </si>
  <si>
    <t>100</t>
  </si>
  <si>
    <t>PDF第28页／印刷页646，正文“Generalization Findings”标题下第一段，第1句为pre-test、第2句为post-test；Murat 属该段列出的Murat、Gamze、Akın三名被试；本项在正文报告，未有独立图号、Table号、面板或数据点形状；Figure 1不绘制这两个泛化点。</t>
  </si>
  <si>
    <t>D0235</t>
  </si>
  <si>
    <t>Gamze</t>
  </si>
  <si>
    <t>6,6,6,0,0,0,0</t>
  </si>
  <si>
    <t>33,33,46,53,53,73,53,100,100,100</t>
  </si>
  <si>
    <t>Figure 1，PDF第27页／印刷页645；Gamze 中间面板；纵轴“Correct response percentage”，实心菱形；Baseline与Intervention使用连线，Maintenance为右侧未连接的3个菱形（正文说明干预后1、2、4周，PDF第28页／646）。</t>
  </si>
  <si>
    <t>D0236</t>
  </si>
  <si>
    <t>100,100,100</t>
  </si>
  <si>
    <t>D0237</t>
  </si>
  <si>
    <t>PDF第28页／印刷页646，正文“Generalization Findings”标题下第一段，第1句为pre-test、第2句为post-test；Gamze 属该段列出的Murat、Gamze、Akın三名被试；本项在正文报告，未有独立图号、Table号、面板或数据点形状；Figure 1不绘制这两个泛化点。</t>
  </si>
  <si>
    <t>D0238</t>
  </si>
  <si>
    <t>Akın</t>
  </si>
  <si>
    <t>6,0,6,6,0,0,6,0</t>
  </si>
  <si>
    <t>33,63,73,86,100,100,100</t>
  </si>
  <si>
    <t>Figure 1，PDF第27页／印刷页645；Akın 下方面板；纵轴“Correct response percentage”，实心菱形；Baseline与Intervention使用连线，Maintenance为右侧未连接的3个菱形（正文说明干预后1、2、4周，PDF第28页／646）。</t>
  </si>
  <si>
    <t>D0239</t>
  </si>
  <si>
    <t>D0240</t>
  </si>
  <si>
    <t>PDF第28页／印刷页646，正文“Generalization Findings”标题下第一段，第1句为pre-test、第2句为post-test；Akın 属该段列出的Murat、Gamze、Akın三名被试；本项在正文报告，未有独立图号、Table号、面板或数据点形状；Figure 1不绘制这两个泛化点。</t>
  </si>
  <si>
    <t>D0241</t>
  </si>
  <si>
    <t>Correct response percentages in observational learning — Construction worker (Yağız's target professions)（观察学习中的正确回答百分比——建筑工人（Yağız的目标职业））</t>
  </si>
  <si>
    <t>单次前后测</t>
  </si>
  <si>
    <t>Pre-test（前测） vs Post-test（后测）</t>
  </si>
  <si>
    <t>40</t>
  </si>
  <si>
    <t>Figure 2，PDF第29页／印刷页647；Murat 的 Observational Learning Pre-Test and Post-Test Data；左侧 Yağız’s target professions 组第1对柱（全图从左第1），横轴 Construction worker；灰色柱 Pre-test、黑色柱 Post-test；原图为柱状图，未另列Table或逐次会话符号。</t>
  </si>
  <si>
    <t>D0242</t>
  </si>
  <si>
    <t>Correct response percentages in observational learning — Cameraman (Yağız's target professions)（观察学习中的正确回答百分比——摄像师（Yağız的目标职业））</t>
  </si>
  <si>
    <t>Figure 2，PDF第29页／印刷页647；Murat 的 Observational Learning Pre-Test and Post-Test Data；左侧 Yağız’s target professions 组第2对柱（全图从左第2），横轴 Cameraman；灰色柱 Pre-test、黑色柱 Post-test；原图为柱状图，未另列Table或逐次会话符号。</t>
  </si>
  <si>
    <t>D0243</t>
  </si>
  <si>
    <t>Correct response percentages in observational learning — Butcher (Yağız's target professions)（观察学习中的正确回答百分比——屠夫（Yağız的目标职业））</t>
  </si>
  <si>
    <t>20</t>
  </si>
  <si>
    <t>Figure 2，PDF第29页／印刷页647；Murat 的 Observational Learning Pre-Test and Post-Test Data；左侧 Yağız’s target professions 组第3对柱（全图从左第3），横轴 Butcher；灰色柱 Pre-test、黑色柱 Post-test；原图为柱状图，未另列Table或逐次会话符号。</t>
  </si>
  <si>
    <t>D0244</t>
  </si>
  <si>
    <t>Correct response percentages in observational learning — Captain (Kıvanç's target professions)（观察学习中的正确回答百分比——船长（Kıvanç的目标职业））</t>
  </si>
  <si>
    <t>80</t>
  </si>
  <si>
    <t>Figure 2，PDF第29页／印刷页647；Murat 的 Observational Learning Pre-Test and Post-Test Data；右侧 Kıvanç’s target professions 组第1对柱（全图从左第4），横轴 Captain；灰色柱 Pre-test、黑色柱 Post-test；原图为柱状图，未另列Table或逐次会话符号。</t>
  </si>
  <si>
    <t>D0245</t>
  </si>
  <si>
    <t>Correct response percentages in observational learning — Cashier (Kıvanç's target professions)（观察学习中的正确回答百分比——收银员（Kıvanç的目标职业））</t>
  </si>
  <si>
    <t>Figure 2，PDF第29页／印刷页647；Murat 的 Observational Learning Pre-Test and Post-Test Data；右侧 Kıvanç’s target professions 组第2对柱（全图从左第5），横轴 Cashier；灰色柱 Pre-test、黑色柱 Post-test；原图为柱状图，未另列Table或逐次会话符号。</t>
  </si>
  <si>
    <t>D0246</t>
  </si>
  <si>
    <t>Correct response percentages in observational learning — Book seller (Kıvanç's target professions)（观察学习中的正确回答百分比——售书员（Kıvanç的目标职业））</t>
  </si>
  <si>
    <t>Figure 2，PDF第29页／印刷页647；Murat 的 Observational Learning Pre-Test and Post-Test Data；右侧 Kıvanç’s target professions 组第3对柱（全图从左第6），横轴 Book seller；灰色柱 Pre-test、黑色柱 Post-test；原图为柱状图，未另列Table或逐次会话符号。</t>
  </si>
  <si>
    <t>D0247</t>
  </si>
  <si>
    <t>Correct response percentages in observational learning — Grocer (Onur's target professions)（观察学习中的正确回答百分比——杂货商（Onur的目标职业））</t>
  </si>
  <si>
    <t>Figure 3，PDF第30页／印刷页648；Gamze 的 Observational Learning Pre-Test and Post-Test Data；页面上半部，左侧 Onur’s target professions 组第1对柱（全图从左第1），横轴 Grocer；灰色柱 Pre-test、黑色柱 Post-test；原图为柱状图，未另列Table或逐次会话符号。</t>
  </si>
  <si>
    <t>D0248</t>
  </si>
  <si>
    <t>Correct response percentages in observational learning — Teacher (Onur's target professions)（观察学习中的正确回答百分比——教师（Onur的目标职业））</t>
  </si>
  <si>
    <t>Figure 3，PDF第30页／印刷页648；Gamze 的 Observational Learning Pre-Test and Post-Test Data；页面上半部，左侧 Onur’s target professions 组第2对柱（全图从左第2），横轴 Teacher；灰色柱 Pre-test、黑色柱 Post-test；原图为柱状图，未另列Table或逐次会话符号。</t>
  </si>
  <si>
    <t>D0249</t>
  </si>
  <si>
    <t>Correct response percentages in observational learning — Construction worker (Onur's target professions)（观察学习中的正确回答百分比——建筑工人（Onur的目标职业））</t>
  </si>
  <si>
    <t>Figure 3，PDF第30页／印刷页648；Gamze 的 Observational Learning Pre-Test and Post-Test Data；页面上半部，左侧 Onur’s target professions 组第3对柱（全图从左第3），横轴 Construction worker；灰色柱 Pre-test、黑色柱 Post-test；原图为柱状图，未另列Table或逐次会话符号。</t>
  </si>
  <si>
    <t>D0250</t>
  </si>
  <si>
    <t>Correct response percentages in observational learning — Security (Eda's target professions)（观察学习中的正确回答百分比——保安（Eda的目标职业））</t>
  </si>
  <si>
    <t>Figure 4，PDF第30页／印刷页648；Akın 的 Observational Learning Pre-Test and Post-Test Data；页面下半部，左侧 Eda’s target professions 组第1对柱（全图从左第1），横轴 Security；灰色柱 Pre-test、黑色柱 Post-test；原图为柱状图，未另列Table或逐次会话符号。</t>
  </si>
  <si>
    <t>D0251</t>
  </si>
  <si>
    <t>Correct response percentages in observational learning — Cashier (Eda's target professions)（观察学习中的正确回答百分比——收银员（Eda的目标职业））</t>
  </si>
  <si>
    <t>Figure 4，PDF第30页／印刷页648；Akın 的 Observational Learning Pre-Test and Post-Test Data；页面下半部，左侧 Eda’s target professions 组第2对柱（全图从左第2），横轴 Cashier；灰色柱 Pre-test、黑色柱 Post-test；原图为柱状图，未另列Table或逐次会话符号。</t>
  </si>
  <si>
    <t>D0252</t>
  </si>
  <si>
    <t>Correct response percentages in observational learning — Librarian (Eda's target professions)（观察学习中的正确回答百分比——图书管理员（Eda的目标职业））</t>
  </si>
  <si>
    <t>Figure 4，PDF第30页／印刷页648；Akın 的 Observational Learning Pre-Test and Post-Test Data；页面下半部，左侧 Eda’s target professions 组第3对柱（全图从左第3），横轴 Librarian；灰色柱 Pre-test、黑色柱 Post-test；原图为柱状图，未另列Table或逐次会话符号。</t>
  </si>
  <si>
    <t>D0253</t>
  </si>
  <si>
    <t>Correct response percentages in observational learning — Butcher (Derin's target professions)（观察学习中的正确回答百分比——屠夫（Derin的目标职业））</t>
  </si>
  <si>
    <t>Figure 4，PDF第30页／印刷页648；Akın 的 Observational Learning Pre-Test and Post-Test Data；页面下半部，右侧 Derin’s target professions 组第1对柱（全图从左第4），横轴 Butcher；灰色柱 Pre-test、黑色柱 Post-test；原图为柱状图，未另列Table或逐次会话符号。</t>
  </si>
  <si>
    <t>D0254</t>
  </si>
  <si>
    <t>Correct response percentages in observational learning — Cameraman (Derin's target professions)（观察学习中的正确回答百分比——摄像师（Derin的目标职业））</t>
  </si>
  <si>
    <t>Figure 4，PDF第30页／印刷页648；Akın 的 Observational Learning Pre-Test and Post-Test Data；页面下半部，右侧 Derin’s target professions 组第2对柱（全图从左第5），横轴 Cameraman；灰色柱 Pre-test、黑色柱 Post-test；原图为柱状图，未另列Table或逐次会话符号。</t>
  </si>
  <si>
    <t>D0255</t>
  </si>
  <si>
    <t>Correct response percentages in observational learning — Book seller (Derin's target professions)（观察学习中的正确回答百分比——售书员（Derin的目标职业））</t>
  </si>
  <si>
    <t>Figure 4，PDF第30页／印刷页648；Akın 的 Observational Learning Pre-Test and Post-Test Data；页面下半部，右侧 Derin’s target professions 组第3对柱（全图从左第6），横轴 Book seller；灰色柱 Pre-test、黑色柱 Post-test；原图为柱状图，未另列Table或逐次会话符号。</t>
  </si>
  <si>
    <t>D0256</t>
  </si>
  <si>
    <t>027-A</t>
  </si>
  <si>
    <t>Jun</t>
  </si>
  <si>
    <t>Appropriate social interactions (physical education setting)（体育教学情境中的恰当社交互动）</t>
  </si>
  <si>
    <t>0,3,1,1,1</t>
  </si>
  <si>
    <t>3,4,6,2,6,2,4,4,7,4,9,4,9,9,11,7</t>
  </si>
  <si>
    <t>Figure 1，PDF第7页／印刷页242；Jun 上方面板，physical education setting；Appropriate：实心圆、实线；左右阶段标题为 Baseline、Intervention。</t>
  </si>
  <si>
    <t>D0257</t>
  </si>
  <si>
    <t>Inappropriate social interactions (physical education setting)（体育教学情境中的不恰当社交互动）</t>
  </si>
  <si>
    <t>3,1,2,2,2</t>
  </si>
  <si>
    <t>5,1,2,3,0,6,3,2,2,3,1,7,2,4,4,4</t>
  </si>
  <si>
    <t>Figure 1，PDF第7页／印刷页242；Jun 上方面板，physical education setting；Inappropriate：空心圆、虚线；左右阶段标题为 Baseline、Intervention。</t>
  </si>
  <si>
    <t>D0258</t>
  </si>
  <si>
    <t>Feng</t>
  </si>
  <si>
    <t>4,2,1,4,2,1,1,1</t>
  </si>
  <si>
    <t>5,5,9,5,7,6,11,10,7,7,8,13,15</t>
  </si>
  <si>
    <t>Figure 1，PDF第7页／印刷页242；Feng 中间面板，physical education setting；Appropriate：实心圆、实线；左右阶段标题为 Baseline、Intervention。</t>
  </si>
  <si>
    <t>D0259</t>
  </si>
  <si>
    <t>0,2,1,1,1,3,4,1</t>
  </si>
  <si>
    <t>2,3,2,1,5,6,8,2,4,3,3,2,0</t>
  </si>
  <si>
    <t>Figure 1，PDF第7页／印刷页242；Feng 中间面板，physical education setting；Inappropriate：空心圆、虚线；左右阶段标题为 Baseline、Intervention。</t>
  </si>
  <si>
    <t>D0260</t>
  </si>
  <si>
    <t>Bo</t>
  </si>
  <si>
    <t>4,1,0,4,2,1,2,2,3,2</t>
  </si>
  <si>
    <t>5,8,3,4,4,1,1,5,1,7,4,8,4,7</t>
  </si>
  <si>
    <t>Figure 1，PDF第7页／印刷页242；Bo 下方面板，physical education setting；Appropriate：实心圆、实线；左右阶段标题为 Baseline、Intervention。</t>
  </si>
  <si>
    <t>D0261</t>
  </si>
  <si>
    <t>1,1,5,1,1,2,1,3,0,2</t>
  </si>
  <si>
    <t>3,4,4,9,7,6,9,5,7,2,5,3,5,3</t>
  </si>
  <si>
    <t>Figure 1，PDF第7页／印刷页242；Bo 下方面板，physical education setting；Inappropriate：空心圆、虚线；左右阶段标题为 Baseline、Intervention。</t>
  </si>
  <si>
    <t>D0262</t>
  </si>
  <si>
    <t>Appropriate social interactions (free play setting)（自由游戏情境中的恰当社交互动）</t>
  </si>
  <si>
    <t>1,3,0,0,1</t>
  </si>
  <si>
    <t>2,3,2,3,5,3,4,6,5,5,7,6,4,5,6,4</t>
  </si>
  <si>
    <t>Figure 2，PDF第9页／印刷页244；Jun 上方面板，free play setting；Appropriate：实心圆、实线；左右阶段标题为 Baseline、Intervention。</t>
  </si>
  <si>
    <t>D0263</t>
  </si>
  <si>
    <t>Inappropriate social interactions (free play setting)（自由游戏情境中的不恰当社交互动）</t>
  </si>
  <si>
    <t>0,1,0,2,3</t>
  </si>
  <si>
    <t>3,2,2,2,3,2,2,4,3,3,1,3,2,2,1,2</t>
  </si>
  <si>
    <t>Figure 2，PDF第9页／印刷页244；Jun 上方面板，free play setting；Inappropriate：空心圆、虚线；左右阶段标题为 Baseline、Intervention。</t>
  </si>
  <si>
    <t>D0264</t>
  </si>
  <si>
    <t>0,2,3,1,0,2,1,0</t>
  </si>
  <si>
    <t>9,5,8,8,8,8,5,7,8,15,7,9,7</t>
  </si>
  <si>
    <t>Figure 2，PDF第9页／印刷页244；Feng 中间面板，free play setting；Appropriate：实心圆、实线；左右阶段标题为 Baseline、Intervention。</t>
  </si>
  <si>
    <t>D0265</t>
  </si>
  <si>
    <t>1,0,1,1,2,0,2,1</t>
  </si>
  <si>
    <t>5,1,1,1,3,2,1,2,1,0,0,2,1</t>
  </si>
  <si>
    <t>Figure 2，PDF第9页／印刷页244；Feng 中间面板，free play setting；Inappropriate：空心圆、虚线；左右阶段标题为 Baseline、Intervention。</t>
  </si>
  <si>
    <t>D0266</t>
  </si>
  <si>
    <t>0,1,0,0,0,1,0,1,0,0</t>
  </si>
  <si>
    <t>7,7,9,4,7,6,4,6,11,9,7,7,7,8</t>
  </si>
  <si>
    <t>Figure 2，PDF第9页／印刷页244；Bo 下方面板，free play setting；Appropriate：实心圆、实线；左右阶段标题为 Baseline、Intervention。</t>
  </si>
  <si>
    <t>D0267</t>
  </si>
  <si>
    <t>2,1,1,2,2,1,3,0,2,1</t>
  </si>
  <si>
    <t>2,2,2,4,3,2,2,1,2,2,1,3,2,2</t>
  </si>
  <si>
    <t>Figure 2，PDF第9页／印刷页244；Bo 下方面板，free play setting；Inappropriate：空心圆、虚线；左右阶段标题为 Baseline、Intervention。</t>
  </si>
  <si>
    <t>D0268</t>
  </si>
  <si>
    <t>028-A</t>
  </si>
  <si>
    <t>Keith</t>
  </si>
  <si>
    <t>Number of Initiations（社交发起次数）</t>
  </si>
  <si>
    <t>Baseline（基线期） vs Social Sᴿ⁺ &amp; Prompting（社会性正强化与提示）</t>
  </si>
  <si>
    <t>0,1,1,0</t>
  </si>
  <si>
    <t>5,3,6,13,5,6</t>
  </si>
  <si>
    <t>次/会话</t>
  </si>
  <si>
    <t>Figure 1；PDF第8页，印刷页8 of 15；Keith 最上方面板；纵轴Number of Initiations；基线和干预为实心圆，Follow-Up为右侧空心圆。</t>
  </si>
  <si>
    <t>D0269</t>
  </si>
  <si>
    <t>Baseline（基线期） vs Follow-Up（追踪期）</t>
  </si>
  <si>
    <t>36</t>
  </si>
  <si>
    <t>D0270</t>
  </si>
  <si>
    <t>Bob</t>
  </si>
  <si>
    <t>1,2,1,0,0,0</t>
  </si>
  <si>
    <t>4,7,3,4,5,5,4,5,7,5,9,6,6,5</t>
  </si>
  <si>
    <t>Figure 1；PDF第8页，印刷页8 of 15；Bob 中间面板；纵轴Number of Initiations；基线和干预为实心圆，Follow-Up为右侧空心圆。</t>
  </si>
  <si>
    <t>D0271</t>
  </si>
  <si>
    <t>40,39</t>
  </si>
  <si>
    <t>D0272</t>
  </si>
  <si>
    <t>Gregory</t>
  </si>
  <si>
    <t>1,0,0,2,0,1,0,1,2,1,1</t>
  </si>
  <si>
    <t>4,5,2,5,5,17,22,21,8,13,17,11</t>
  </si>
  <si>
    <t>Figure 1；PDF第8页，印刷页8 of 15；Gregory 最下方面板；纵轴Number of Initiations；基线和干预为实心圆，Follow-Up为右侧空心圆。</t>
  </si>
  <si>
    <t>D0273</t>
  </si>
  <si>
    <t>D0274</t>
  </si>
  <si>
    <t>Percentages of Replies to Peer Initiations（对同伴社交发起的回应百分比）</t>
  </si>
  <si>
    <t>BL (Baseline)（基线期） vs Social Sᴿ⁺ &amp; Prompting（社会性正强化与提示）</t>
  </si>
  <si>
    <t>40,60,60,60</t>
  </si>
  <si>
    <t>Figure 2；PDF第10页，印刷页10 of 15；Keith 最上方面板；纵轴Percentages of Replies to Peer Initiations；基线和干预为实心圆，Follow-Up为右侧空心圆。</t>
  </si>
  <si>
    <t>D0275</t>
  </si>
  <si>
    <t>BL (Baseline)（基线期） vs Follow-Up（追踪期）</t>
  </si>
  <si>
    <t>80,80</t>
  </si>
  <si>
    <t>D0276</t>
  </si>
  <si>
    <t>60,60,80,40,60,60,60</t>
  </si>
  <si>
    <t>Figure 2；PDF第10页，印刷页10 of 15；Bob 中间面板；纵轴Percentages of Replies to Peer Initiations；基线和干预为实心圆，Follow-Up为右侧空心圆。</t>
  </si>
  <si>
    <t>D0277</t>
  </si>
  <si>
    <t>80,100</t>
  </si>
  <si>
    <t>D0278</t>
  </si>
  <si>
    <t>0,0,20,0,20,0,0,0</t>
  </si>
  <si>
    <t>60,0,20,20,40,40,40,20,80,60,60,60,60</t>
  </si>
  <si>
    <t>Figure 2；PDF第10页，印刷页10 of 15；Gregory 最下方面板；纵轴Percentages of Replies to Peer Initiations；基线和干预为实心圆，Follow-Up为右侧空心圆。</t>
  </si>
  <si>
    <t>D0279</t>
  </si>
  <si>
    <t>D0280</t>
  </si>
  <si>
    <t>029-A</t>
  </si>
  <si>
    <t>Ali</t>
  </si>
  <si>
    <t>Percentage of Disruptive Behavior（干扰行为百分比）</t>
  </si>
  <si>
    <t>Baseline (first phase)（第一次基线期） vs Good Behavior Game (first phase)（第一次良好行为游戏干预期）</t>
  </si>
  <si>
    <t>85,90,100,90,85</t>
  </si>
  <si>
    <t>70,65,70,50,30,25,30</t>
  </si>
  <si>
    <t>Figure 1；PDF第8页，印刷页8 of 15；上方Ali面板；纵轴Percentage of Disruptive Behavior；实心圆连线，右侧Follow-up为分离实心圆；下方Ahmet面板不属于本行。</t>
  </si>
  <si>
    <t>D0281</t>
  </si>
  <si>
    <t>Baseline (second phase)（第二次基线期） vs Good Behavior Game (second phase)（第二次良好行为游戏干预期）</t>
  </si>
  <si>
    <t>50,55,50,75,90,85,85</t>
  </si>
  <si>
    <t>60,55,55,35,20,20</t>
  </si>
  <si>
    <t>D0282</t>
  </si>
  <si>
    <t>Baseline (first phase)（第一次基线期） vs Follow-up（追踪期）</t>
  </si>
  <si>
    <t>45,55</t>
  </si>
  <si>
    <t>D0283</t>
  </si>
  <si>
    <t>030-A</t>
  </si>
  <si>
    <t>Child 1</t>
  </si>
  <si>
    <t>Percentage of Unprompted Correct Child Responses（儿童无提示正确反应的百分比）</t>
  </si>
  <si>
    <t>Post-Training (Generalization)（培训后阶段的泛化测查） vs Intervention (Generalization)（干预期的泛化测查）</t>
  </si>
  <si>
    <t>Figure 2；PDF第18页，印刷页18 of 28；从上到下第1个Child 1面板；纵轴Percentage of Unprompted Correct Child Responses；Generalization为实心圆，按Post-Training与Intervention阶段竖线定位。</t>
  </si>
  <si>
    <t>D0284</t>
  </si>
  <si>
    <t>Post-Training (Generalization)（培训后阶段的泛化测查） vs Maintenance (Generalization)（维持期的泛化测查）</t>
  </si>
  <si>
    <t>Figure 2；PDF第18页，印刷页18 of 28；从上到下第1个Child 1面板；纵轴Percentage of Unprompted Correct Child Responses；Generalization为实心圆，按Post-Training与Maintenance阶段竖线定位。</t>
  </si>
  <si>
    <t>D0285</t>
  </si>
  <si>
    <t>Child 2</t>
  </si>
  <si>
    <t>Post-Training（培训后阶段） vs Intervention（干预期）</t>
  </si>
  <si>
    <t>20,20,20,20,40,40,40,40,30,40</t>
  </si>
  <si>
    <t>50,50,75,75,70,70,70,80</t>
  </si>
  <si>
    <t>Figure 2；PDF第18页，印刷页18 of 28；从上到下第2个Child 2面板；纵轴Percentage of Unprompted Correct Child Responses；目标情境为实心菱形，按Post-Training与Intervention阶段竖线定位。</t>
  </si>
  <si>
    <t>前段为Post-Training，不作为原始基线检验趋势。</t>
  </si>
  <si>
    <t>D0286</t>
  </si>
  <si>
    <t>Post-Training（培训后阶段） vs Maintenance（维持期）</t>
  </si>
  <si>
    <t>70,70,60,80,80,80,80</t>
  </si>
  <si>
    <t>Figure 2；PDF第18页，印刷页18 of 28；从上到下第2个Child 2面板；纵轴Percentage of Unprompted Correct Child Responses；目标情境为实心菱形，按Post-Training与Maintenance阶段竖线定位。</t>
  </si>
  <si>
    <t>D0287</t>
  </si>
  <si>
    <t>Figure 2；PDF第18页，印刷页18 of 28；从上到下第2个Child 2面板；纵轴Percentage of Unprompted Correct Child Responses；Generalization为实心圆，按Post-Training与Intervention阶段竖线定位。</t>
  </si>
  <si>
    <t>D0288</t>
  </si>
  <si>
    <t>70</t>
  </si>
  <si>
    <t>Figure 2；PDF第18页，印刷页18 of 28；从上到下第2个Child 2面板；纵轴Percentage of Unprompted Correct Child Responses；Generalization为实心圆，按Post-Training与Maintenance阶段竖线定位。</t>
  </si>
  <si>
    <t>D0289</t>
  </si>
  <si>
    <t>Child 3</t>
  </si>
  <si>
    <t>20,25,20,30,30,30,30,30,50,50,30,50,50,50</t>
  </si>
  <si>
    <t>60,75,75,75,100,90,90</t>
  </si>
  <si>
    <t>Figure 2；PDF第18页，印刷页18 of 28；从上到下第3个Child 3面板；纵轴Percentage of Unprompted Correct Child Responses；目标情境为实心菱形，按Post-Training与Intervention阶段竖线定位。</t>
  </si>
  <si>
    <t>D0290</t>
  </si>
  <si>
    <t>Figure 2；PDF第18页，印刷页18 of 28；从上到下第3个Child 3面板；纵轴Percentage of Unprompted Correct Child Responses；目标情境为实心菱形，按Post-Training与Maintenance阶段竖线定位。</t>
  </si>
  <si>
    <t>待审核：维持阶段五个图示点与正文报告的数值范围冲突，无法定位具体错误点，需核实完整维持序列。</t>
  </si>
  <si>
    <t>D0291</t>
  </si>
  <si>
    <t>75</t>
  </si>
  <si>
    <t>Figure 2；PDF第18页，印刷页18 of 28；从上到下第3个Child 3面板；纵轴Percentage of Unprompted Correct Child Responses；Generalization为实心圆，按Post-Training与Intervention阶段竖线定位。</t>
  </si>
  <si>
    <t>D0292</t>
  </si>
  <si>
    <t>Figure 2；PDF第18页，印刷页18 of 28；从上到下第3个Child 3面板；纵轴Percentage of Unprompted Correct Child Responses；Generalization为实心圆，按Post-Training与Maintenance阶段竖线定位。</t>
  </si>
  <si>
    <t>D0293</t>
  </si>
  <si>
    <t>Child 4</t>
  </si>
  <si>
    <t>30,20,20,20,30,30,20,20,40,40,40,40,40,40,60,60,60,60</t>
  </si>
  <si>
    <t>80,80,70,80,80,80,80</t>
  </si>
  <si>
    <t>Figure 2；PDF第18页，印刷页18 of 28；从上到下第4个Child 4面板；纵轴Percentage of Unprompted Correct Child Responses；目标情境为实心菱形，按Post-Training与Intervention阶段竖线定位。</t>
  </si>
  <si>
    <t>D0294</t>
  </si>
  <si>
    <t>80,80,80</t>
  </si>
  <si>
    <t>Figure 2；PDF第18页，印刷页18 of 28；从上到下第4个Child 4面板；纵轴Percentage of Unprompted Correct Child Responses；目标情境为实心菱形，按Post-Training与Maintenance阶段竖线定位。</t>
  </si>
  <si>
    <t>D0295</t>
  </si>
  <si>
    <t>30</t>
  </si>
  <si>
    <t>Figure 2；PDF第18页，印刷页18 of 28；从上到下第4个Child 4面板；纵轴Percentage of Unprompted Correct Child Responses；Generalization为实心圆，按Post-Training与Intervention阶段竖线定位。</t>
  </si>
  <si>
    <t>D0296</t>
  </si>
  <si>
    <t>90</t>
  </si>
  <si>
    <t>Figure 2；PDF第18页，印刷页18 of 28；从上到下第4个Child 4面板；纵轴Percentage of Unprompted Correct Child Responses；Generalization为实心圆，按Post-Training与Maintenance阶段竖线定位。</t>
  </si>
  <si>
    <t>D0297</t>
  </si>
  <si>
    <t>035-A</t>
  </si>
  <si>
    <t>Arjun</t>
  </si>
  <si>
    <t>Percentage of Session Engaged in Interactive Play（观察时段内参与互动游戏的时间百分比）</t>
  </si>
  <si>
    <t>Baseline (first phase)（第一次基线期） vs Intervention (first phase)（第一次干预期）</t>
  </si>
  <si>
    <t>9,4,3</t>
  </si>
  <si>
    <t>66,80,90</t>
  </si>
  <si>
    <t>%（10分钟游戏时段）</t>
  </si>
  <si>
    <t>Figure 2；PDF第11页，印刷页11；从上至下第1个Arjun面板；实心菱形；纵轴Percentage of Session Engaged in Interactive Play；按两组Baseline/Intervention竖线区分第一/第二次阶段。</t>
  </si>
  <si>
    <t>D0298</t>
  </si>
  <si>
    <t>Baseline (second phase)（第二次基线期） vs Intervention (second phase)（第二次干预期）</t>
  </si>
  <si>
    <t>84,74,76,80</t>
  </si>
  <si>
    <t>D0299</t>
  </si>
  <si>
    <t>Baseline (first phase)（第一次基线期） vs 6 week follow-up（6周追踪）</t>
  </si>
  <si>
    <t>82</t>
  </si>
  <si>
    <t>Figure 2；PDF第11页，印刷页11；从上至下第1个Arjun面板；实心菱形；纵轴Percentage of Session Engaged in Interactive Play；右侧6 week follow-up区域。</t>
  </si>
  <si>
    <t>D0300</t>
  </si>
  <si>
    <t>Emmett</t>
  </si>
  <si>
    <t>0,5,0</t>
  </si>
  <si>
    <t>100,56,75</t>
  </si>
  <si>
    <t>Figure 2；PDF第11页，印刷页11；从上至下第2个Emmett面板；实心菱形；纵轴Percentage of Session Engaged in Interactive Play；按两组Baseline/Intervention竖线区分第一/第二次阶段。</t>
  </si>
  <si>
    <t>D0301</t>
  </si>
  <si>
    <t>49,78,86</t>
  </si>
  <si>
    <t>D0302</t>
  </si>
  <si>
    <t>67</t>
  </si>
  <si>
    <t>Figure 2；PDF第11页，印刷页11；从上至下第2个Emmett面板；实心菱形；纵轴Percentage of Session Engaged in Interactive Play；右侧6 week follow-up区域。</t>
  </si>
  <si>
    <t>D0303</t>
  </si>
  <si>
    <t>Austin</t>
  </si>
  <si>
    <t>30,37,62,43</t>
  </si>
  <si>
    <t>Figure 2；PDF第11页，印刷页11；从上至下第3个Austin面板；实心菱形；纵轴Percentage of Session Engaged in Interactive Play；按两组Baseline/Intervention竖线区分第一/第二次阶段。</t>
  </si>
  <si>
    <t>D0304</t>
  </si>
  <si>
    <t>50,39,60</t>
  </si>
  <si>
    <t>D0305</t>
  </si>
  <si>
    <t>55</t>
  </si>
  <si>
    <t>Figure 2；PDF第11页，印刷页11；从上至下第3个Austin面板；实心菱形；纵轴Percentage of Session Engaged in Interactive Play；右侧6 week follow-up区域。</t>
  </si>
  <si>
    <t>D0306</t>
  </si>
  <si>
    <t>Julia</t>
  </si>
  <si>
    <t>0,4,0,0,0,0</t>
  </si>
  <si>
    <t>13,34,11,26</t>
  </si>
  <si>
    <t>Figure 2；PDF第11页，印刷页11；从上至下第4个Julia面板；实心菱形；纵轴Percentage of Session Engaged in Interactive Play；按两组Baseline/Intervention竖线区分第一/第二次阶段。</t>
  </si>
  <si>
    <t>D0307</t>
  </si>
  <si>
    <t>21,35</t>
  </si>
  <si>
    <t>D0308</t>
  </si>
  <si>
    <t>92</t>
  </si>
  <si>
    <t>Figure 2；PDF第11页，印刷页11；从上至下第4个Julia面板；实心菱形；纵轴Percentage of Session Engaged in Interactive Play；右侧6 week follow-up区域。</t>
  </si>
  <si>
    <t>D0309</t>
  </si>
  <si>
    <t>Initiations（社交发起）</t>
  </si>
  <si>
    <t>5,1,0,2,1</t>
  </si>
  <si>
    <t>9,7,15,10,4,9,15,9,11</t>
  </si>
  <si>
    <t>次/10分钟</t>
  </si>
  <si>
    <t>Figure 1；PDF第9页，印刷页9；从上至下第1个Arjun面板；实心圆；图例Initiations；空心标记代表与novel peer的泛化观测；按两组Baseline/Intervention竖线区分第一/第二次阶段。</t>
  </si>
  <si>
    <t>D0310</t>
  </si>
  <si>
    <t>14,6,11,8,14,13,7</t>
  </si>
  <si>
    <t>D0311</t>
  </si>
  <si>
    <t>Figure 1；PDF第9页，印刷页9；从上至下第1个Arjun面板；实心圆；图例Initiations；空心标记代表与novel peer的泛化观测；右侧6 week follow-up区域。</t>
  </si>
  <si>
    <t>D0312</t>
  </si>
  <si>
    <t>Baseline (first phase) (generalization sessions)（第一次基线期的泛化测查） vs Intervention (first phase) (generalization sessions)（第一次干预期的泛化测查）</t>
  </si>
  <si>
    <t>18,10</t>
  </si>
  <si>
    <t>Figure 1；PDF第9页，印刷页9；从上至下第1个Arjun面板；空心圆；图例Generalization Initiations；空心标记代表与novel peer的泛化观测；按两组Baseline/Intervention竖线区分第一/第二次阶段。</t>
  </si>
  <si>
    <t>D0313</t>
  </si>
  <si>
    <t>Baseline (second phase) (generalization sessions)（第二次基线期的泛化测查） vs Intervention (second phase) (generalization sessions)（第二次干预期的泛化测查）</t>
  </si>
  <si>
    <t>2</t>
  </si>
  <si>
    <t>10,7,15,7</t>
  </si>
  <si>
    <t>D0314</t>
  </si>
  <si>
    <t>Baseline (first phase) (generalization sessions)（第一次基线期的泛化测查） vs 6 week follow-up (generalization sessions)（6周追踪时的泛化测查）</t>
  </si>
  <si>
    <t>17</t>
  </si>
  <si>
    <t>Figure 1；PDF第9页，印刷页9；从上至下第1个Arjun面板；空心圆；图例Generalization Initiations；空心标记代表与novel peer的泛化观测；右侧6 week follow-up区域。</t>
  </si>
  <si>
    <t>D0315</t>
  </si>
  <si>
    <t>Responses（社交回应）</t>
  </si>
  <si>
    <t>4,0,1,1,0</t>
  </si>
  <si>
    <t>9,7,15,9,9,8,11,2,9</t>
  </si>
  <si>
    <t>Figure 1；PDF第9页，印刷页9；从上至下第1个Arjun面板；实心方块；图例Responses；空心标记代表与novel peer的泛化观测；按两组Baseline/Intervention竖线区分第一/第二次阶段。</t>
  </si>
  <si>
    <t>D0316</t>
  </si>
  <si>
    <t>1,1,1</t>
  </si>
  <si>
    <t>17,12,10,14,9,9,25</t>
  </si>
  <si>
    <t>D0317</t>
  </si>
  <si>
    <t>Figure 1；PDF第9页，印刷页9；从上至下第1个Arjun面板；实心方块；图例Responses；空心标记代表与novel peer的泛化观测；右侧6 week follow-up区域。</t>
  </si>
  <si>
    <t>D0318</t>
  </si>
  <si>
    <t>14,13</t>
  </si>
  <si>
    <t>Figure 1；PDF第9页，印刷页9；从上至下第1个Arjun面板；空心方块；图例Generalization Responses；空心标记代表与novel peer的泛化观测；按两组Baseline/Intervention竖线区分第一/第二次阶段。</t>
  </si>
  <si>
    <t>D0319</t>
  </si>
  <si>
    <t>13,12,22,9</t>
  </si>
  <si>
    <t>D0320</t>
  </si>
  <si>
    <t>Figure 1；PDF第9页，印刷页9；从上至下第1个Arjun面板；空心方块；图例Generalization Responses；空心标记代表与novel peer的泛化观测；右侧6 week follow-up区域。</t>
  </si>
  <si>
    <t>D0321</t>
  </si>
  <si>
    <t>2,0,0,2,2,0,0,0</t>
  </si>
  <si>
    <t>4,3,8,6,4,11,8</t>
  </si>
  <si>
    <t>Figure 1；PDF第9页，印刷页9；从上至下第2个Emmett面板；实心圆；图例Initiations；空心标记代表与novel peer的泛化观测；按两组Baseline/Intervention竖线区分第一/第二次阶段。</t>
  </si>
  <si>
    <t>D0322</t>
  </si>
  <si>
    <t>0,2,0</t>
  </si>
  <si>
    <t>5,13,17,14,17,14,11</t>
  </si>
  <si>
    <t>D0323</t>
  </si>
  <si>
    <t>Figure 1；PDF第9页，印刷页9；从上至下第2个Emmett面板；实心圆；图例Initiations；空心标记代表与novel peer的泛化观测；右侧6 week follow-up区域。</t>
  </si>
  <si>
    <t>D0324</t>
  </si>
  <si>
    <t>7,15</t>
  </si>
  <si>
    <t>Figure 1；PDF第9页，印刷页9；从上至下第2个Emmett面板；空心圆；图例Generalization Initiations；空心标记代表与novel peer的泛化观测；按两组Baseline/Intervention竖线区分第一/第二次阶段。</t>
  </si>
  <si>
    <t>D0325</t>
  </si>
  <si>
    <t>19,12,0,10</t>
  </si>
  <si>
    <t>D0326</t>
  </si>
  <si>
    <t>Figure 1；PDF第9页，印刷页9；从上至下第2个Emmett面板；空心圆；图例Generalization Initiations；空心标记代表与novel peer的泛化观测；右侧6 week follow-up区域。</t>
  </si>
  <si>
    <t>D0327</t>
  </si>
  <si>
    <t>Figure 1；PDF第9页，印刷页9；从上至下第2个Emmett面板；实心方块；图例Responses；空心标记代表与novel peer的泛化观测；按两组Baseline/Intervention竖线区分第一/第二次阶段。</t>
  </si>
  <si>
    <t>待审核：基线第4次社交回应的图示读值超出正文报告范围，需核实该点后确认所用基线。</t>
  </si>
  <si>
    <t>D0328</t>
  </si>
  <si>
    <t>20,8,18,18,13,15,8</t>
  </si>
  <si>
    <t>D0329</t>
  </si>
  <si>
    <t>Figure 1；PDF第9页，印刷页9；从上至下第2个Emmett面板；实心方块；图例Responses；空心标记代表与novel peer的泛化观测；右侧6 week follow-up区域。</t>
  </si>
  <si>
    <t>D0330</t>
  </si>
  <si>
    <t>6,16</t>
  </si>
  <si>
    <t>Figure 1；PDF第9页，印刷页9；从上至下第2个Emmett面板；空心方块；图例Generalization Responses；空心标记代表与novel peer的泛化观测；按两组Baseline/Intervention竖线区分第一/第二次阶段。</t>
  </si>
  <si>
    <t>D0331</t>
  </si>
  <si>
    <t>18,17,3,18</t>
  </si>
  <si>
    <t>D0332</t>
  </si>
  <si>
    <t>18</t>
  </si>
  <si>
    <t>Figure 1；PDF第9页，印刷页9；从上至下第2个Emmett面板；空心方块；图例Generalization Responses；空心标记代表与novel peer的泛化观测；右侧6 week follow-up区域。</t>
  </si>
  <si>
    <t>D0333</t>
  </si>
  <si>
    <t>0,0,0,0,0,0,0,0,0,0,0,0,0,0</t>
  </si>
  <si>
    <t>5,8,3,0,2,0,2,5</t>
  </si>
  <si>
    <t>Figure 1；PDF第9页，印刷页9；从上至下第3个Austin面板；实心圆；图例Initiations；空心标记代表与novel peer的泛化观测；按两组Baseline/Intervention竖线区分第一/第二次阶段。</t>
  </si>
  <si>
    <t>D0334</t>
  </si>
  <si>
    <t>4,1,1,6,6</t>
  </si>
  <si>
    <t>D0335</t>
  </si>
  <si>
    <t>Figure 1；PDF第9页，印刷页9；从上至下第3个Austin面板；实心圆；图例Initiations；空心标记代表与novel peer的泛化观测；右侧6 week follow-up区域。</t>
  </si>
  <si>
    <t>D0336</t>
  </si>
  <si>
    <t>3,1</t>
  </si>
  <si>
    <t>Figure 1；PDF第9页，印刷页9；从上至下第3个Austin面板；空心圆；图例Generalization Initiations；空心标记代表与novel peer的泛化观测；按两组Baseline/Intervention竖线区分第一/第二次阶段。</t>
  </si>
  <si>
    <t>D0337</t>
  </si>
  <si>
    <t>1,3</t>
  </si>
  <si>
    <t>D0338</t>
  </si>
  <si>
    <t>1,12,15,20,15,18,14,11</t>
  </si>
  <si>
    <t>Figure 1；PDF第9页，印刷页9；从上至下第3个Austin面板；实心方块；图例Responses；空心标记代表与novel peer的泛化观测；按两组Baseline/Intervention竖线区分第一/第二次阶段。</t>
  </si>
  <si>
    <t>D0339</t>
  </si>
  <si>
    <t>13,13,16,7,10</t>
  </si>
  <si>
    <t>D0340</t>
  </si>
  <si>
    <t>Figure 1；PDF第9页，印刷页9；从上至下第3个Austin面板；实心方块；图例Responses；空心标记代表与novel peer的泛化观测；右侧6 week follow-up区域。</t>
  </si>
  <si>
    <t>D0341</t>
  </si>
  <si>
    <t>17,18</t>
  </si>
  <si>
    <t>Figure 1；PDF第9页，印刷页9；从上至下第3个Austin面板；空心方块；图例Generalization Responses；空心标记代表与novel peer的泛化观测；按两组Baseline/Intervention竖线区分第一/第二次阶段。</t>
  </si>
  <si>
    <t>D0342</t>
  </si>
  <si>
    <t>18,12</t>
  </si>
  <si>
    <t>D0343</t>
  </si>
  <si>
    <t>21</t>
  </si>
  <si>
    <t>Figure 1；PDF第9页，印刷页9；从上至下第3个Austin面板；空心方块；图例Generalization Responses；空心标记代表与novel peer的泛化观测；右侧6 week follow-up区域。</t>
  </si>
  <si>
    <t>D0344</t>
  </si>
  <si>
    <t>0,0,0,0,0,0,0,0,0,0,0,0,0,0,0,0,0,0,0</t>
  </si>
  <si>
    <t>2,4,2,2,1,3</t>
  </si>
  <si>
    <t>Figure 1；PDF第9页，印刷页9；从上至下第4个Julia面板；实心圆；图例Initiations；空心标记代表与novel peer的泛化观测；按两组Baseline/Intervention竖线区分第一/第二次阶段。</t>
  </si>
  <si>
    <t>D0345</t>
  </si>
  <si>
    <t>1,2,3</t>
  </si>
  <si>
    <t>D0346</t>
  </si>
  <si>
    <t>Figure 1；PDF第9页，印刷页9；从上至下第4个Julia面板；实心圆；图例Initiations；空心标记代表与novel peer的泛化观测；右侧6 week follow-up区域。</t>
  </si>
  <si>
    <t>D0347</t>
  </si>
  <si>
    <t>2,1</t>
  </si>
  <si>
    <t>Figure 1；PDF第9页，印刷页9；从上至下第4个Julia面板；空心圆；图例Generalization Initiations；空心标记代表与novel peer的泛化观测；按两组Baseline/Intervention竖线区分第一/第二次阶段。</t>
  </si>
  <si>
    <t>D0348</t>
  </si>
  <si>
    <t>1,1</t>
  </si>
  <si>
    <t>D0349</t>
  </si>
  <si>
    <t>Figure 1；PDF第9页，印刷页9；从上至下第4个Julia面板；空心圆；图例Generalization Initiations；空心标记代表与novel peer的泛化观测；右侧6 week follow-up区域。</t>
  </si>
  <si>
    <t>D0350</t>
  </si>
  <si>
    <t>2,1,1,1,3,3</t>
  </si>
  <si>
    <t>Figure 1；PDF第9页，印刷页9；从上至下第4个Julia面板；实心方块；图例Responses；空心标记代表与novel peer的泛化观测；按两组Baseline/Intervention竖线区分第一/第二次阶段。</t>
  </si>
  <si>
    <t>D0351</t>
  </si>
  <si>
    <t>D0352</t>
  </si>
  <si>
    <t>Figure 1；PDF第9页，印刷页9；从上至下第4个Julia面板；实心方块；图例Responses；空心标记代表与novel peer的泛化观测；右侧6 week follow-up区域。</t>
  </si>
  <si>
    <t>D0353</t>
  </si>
  <si>
    <t>1,5</t>
  </si>
  <si>
    <t>Figure 1；PDF第9页，印刷页9；从上至下第4个Julia面板；空心方块；图例Generalization Responses；空心标记代表与novel peer的泛化观测；按两组Baseline/Intervention竖线区分第一/第二次阶段。</t>
  </si>
  <si>
    <t>D0354</t>
  </si>
  <si>
    <t>D0355</t>
  </si>
  <si>
    <t>Figure 1；PDF第9页，印刷页9；从上至下第4个Julia面板；空心方块；图例Generalization Responses；空心标记代表与novel peer的泛化观测；右侧6 week follow-up区域。</t>
  </si>
  <si>
    <t>D0356</t>
  </si>
  <si>
    <t>036-A</t>
  </si>
  <si>
    <t>Mallory</t>
  </si>
  <si>
    <t>Percent of Correct Responses — Mallory Skill 1（Mallory 技能1的正确反应百分比）</t>
  </si>
  <si>
    <t>待审核：Baseline（基线期） / VP Intervention（视频提示干预） / Maintenance（维持期）（原图阶段词；归属未定）</t>
  </si>
  <si>
    <t>Fig. 1；PDF第9页，所查看图页未标印刷页码；从上至下第3个Mallory Skill 1面板；实心圆为Baseline、VP Intervention和Maintenance数据；空心方块为generalization mean data，非逐次测量；纵轴Percent of Correct Responses。</t>
  </si>
  <si>
    <t>待审核：图中阶段线分出6个干预点和5个维持点，正文对应为9个和2个，干预与维持边界尚未确定。</t>
  </si>
  <si>
    <t>D0357</t>
  </si>
  <si>
    <t>Percent of Correct Responses — Mallory Skill 2（Mallory 技能2的正确反应百分比）</t>
  </si>
  <si>
    <t>Fig. 1；PDF第9页，所查看图页未标印刷页码；从上至下第4个Mallory Skill 2面板；实心圆为Baseline、VP Intervention和Maintenance数据；空心方块为generalization mean data，非逐次测量；纵轴Percent of Correct Responses。</t>
  </si>
  <si>
    <t>待审核：图中干预与维持点数为4个和2个，正文对应为5个和1个，且基线均值与正文不符、横轴未标会话号。</t>
  </si>
  <si>
    <t>D0358</t>
  </si>
  <si>
    <t>Mateo</t>
  </si>
  <si>
    <t>Percent of Correct Responses — Mateo Skill 1（Mateo 技能1的正确反应百分比）</t>
  </si>
  <si>
    <t>Fig. 1；PDF第9页，所查看图页未标印刷页码；从上至下第5个Mateo Skill 1面板；实心圆为Baseline、VP Intervention和Maintenance数据；空心方块为generalization mean data，非逐次测量；纵轴Percent of Correct Responses。</t>
  </si>
  <si>
    <t>待审核：方法称未测维持，图末两点却被结果段描述为追踪数据，阶段归属矛盾，需确认干预与维持边界。</t>
  </si>
  <si>
    <t>D0359</t>
  </si>
  <si>
    <t>Percent of Correct Responses — Mateo Skill 2（Mateo 技能2的正确反应百分比）</t>
  </si>
  <si>
    <t>Baseline（基线期） vs VP Intervention（视频提示干预）</t>
  </si>
  <si>
    <t>Fig. 1；PDF第9页，所查看图页未标印刷页码；从上至下第6个Mateo Skill 2面板；实心圆为Baseline、VP Intervention和Maintenance数据；空心方块为generalization mean data，非逐次测量；纵轴Percent of Correct Responses。</t>
  </si>
  <si>
    <t>待审核：基线图示均值与正文报告不一致，无法定位具体错误点，且横轴未印会话数字，确切会话号需核实。</t>
  </si>
  <si>
    <t>D0360</t>
  </si>
  <si>
    <t>037-A</t>
  </si>
  <si>
    <t>Yangyang</t>
  </si>
  <si>
    <t>0,0,1,1,0</t>
  </si>
  <si>
    <t>4,7,7,10,20,13,14,24,15,28,23,27,27</t>
  </si>
  <si>
    <t>次/40分钟</t>
  </si>
  <si>
    <t>Fig. 1；PDF第9页，所查看图页未标印刷页码；最上方Yangyang面板；实心菱形（Social Initiations）；叉形Peer Prompts不属于本行；纵轴Frequency。</t>
  </si>
  <si>
    <t>D0361</t>
  </si>
  <si>
    <t>14,23,17,28,30,39,29,36,33,40,34,32,36</t>
  </si>
  <si>
    <t>Fig. 1；PDF第9页，所查看图页未标印刷页码；最上方Yangyang面板；实心三角（Social Responses）；叉形Peer Prompts不属于本行；纵轴Frequency。</t>
  </si>
  <si>
    <t>D0362</t>
  </si>
  <si>
    <t>0,5,1,1,0</t>
  </si>
  <si>
    <t>10,32,32,41,30,39,31,33</t>
  </si>
  <si>
    <t>D0363</t>
  </si>
  <si>
    <t>Xinxin</t>
  </si>
  <si>
    <t>2,4,6,2,4,7,3,3,4,2</t>
  </si>
  <si>
    <t>Fig. 1；PDF第9页，所查看图页未标印刷页码；中间Xinxin面板；实心菱形（Social Initiations）；叉形Peer Prompts不属于本行；纵轴Frequency。</t>
  </si>
  <si>
    <t>D0364</t>
  </si>
  <si>
    <t>1,0,1,0,1</t>
  </si>
  <si>
    <t>1,8,11,6,2,7</t>
  </si>
  <si>
    <t>D0365</t>
  </si>
  <si>
    <t>4,7,20,13,28,15,16,27,13,21</t>
  </si>
  <si>
    <t>Fig. 1；PDF第9页，所查看图页未标印刷页码；中间Xinxin面板；实心三角（Social Responses）；叉形Peer Prompts不属于本行；纵轴Frequency。</t>
  </si>
  <si>
    <t>D0366</t>
  </si>
  <si>
    <t>1,0,4,3,3</t>
  </si>
  <si>
    <t>4,30,34,28,25,31</t>
  </si>
  <si>
    <t>D0367</t>
  </si>
  <si>
    <t>Youyou</t>
  </si>
  <si>
    <t>4,1,6,1,3</t>
  </si>
  <si>
    <t>13,20,22,27,17,39,18,34</t>
  </si>
  <si>
    <t>Fig. 1；PDF第9页，所查看图页未标印刷页码；最下方Youyou面板；实心菱形（Social Initiations）；叉形Peer Prompts不属于本行；纵轴Frequency。</t>
  </si>
  <si>
    <t>D0368</t>
  </si>
  <si>
    <t>8,9,5,7,4</t>
  </si>
  <si>
    <t>31,29,27,33,34,34</t>
  </si>
  <si>
    <t>D0369</t>
  </si>
  <si>
    <t>2,3,2,0,0</t>
  </si>
  <si>
    <t>23,22,26,25,27,41,37,38</t>
  </si>
  <si>
    <t>Fig. 1；PDF第9页，所查看图页未标印刷页码；最下方Youyou面板；实心三角（Social Responses）；叉形Peer Prompts不属于本行；纵轴Frequency。</t>
  </si>
  <si>
    <t>D0370</t>
  </si>
  <si>
    <t>10,6,8,4,9</t>
  </si>
  <si>
    <t>26,34,37,32,37,36</t>
  </si>
  <si>
    <t>D0371</t>
  </si>
  <si>
    <t>039-A</t>
  </si>
  <si>
    <t>Child target communication behavior（儿童目标沟通行为）</t>
  </si>
  <si>
    <t>10,7,13,10,11</t>
  </si>
  <si>
    <t>次数/观察期</t>
  </si>
  <si>
    <t>Fig. 1；PDF第9页，所查看图页未标印刷页码；最上方Dyad A（Aaron）面板；右纵轴Frequency of Communication Opportunities and Child Behavior；实心方块（child target communication behavior）；三角形和圆形为教师/沟通机会数据，不属于本行。Aaron目标原文：Request desired or needed item(s) or action(s) from an adult or peer using three or more spoken words。</t>
  </si>
  <si>
    <t>D0372</t>
  </si>
  <si>
    <t>待审核：维持阶段五个图示点超出正文报告范围，且相关泛化阶段的图文值疑似对调，需核实阶段和读值。</t>
  </si>
  <si>
    <t>D0373</t>
  </si>
  <si>
    <t>Baseline (Generalization Probes)（基线期的泛化测查） vs Intervention (Generalization Probes)（干预期的泛化测查）</t>
  </si>
  <si>
    <t>Fig. 1；PDF第9页，所查看图页未标印刷页码；最上方Dyad A（Aaron）面板；右纵轴Frequency of Communication Opportunities and Child Behavior；空心方块（child behavior generalization probes）；三角形和圆形为教师/沟通机会数据，不属于本行。Aaron目标原文：Request desired or needed item(s) or action(s) from an adult or peer using three or more spoken words。</t>
  </si>
  <si>
    <t>待审核：干预期与维持期的泛化图示值和正文所述疑似对调，尚需确认两个探测点的数值及阶段归属。</t>
  </si>
  <si>
    <t>D0374</t>
  </si>
  <si>
    <t>Baseline (Generalization Probes)（基线期的泛化测查） vs Maintenance (Generalization Probes)（维持期的泛化测查）</t>
  </si>
  <si>
    <t>D0375</t>
  </si>
  <si>
    <t>040-A</t>
  </si>
  <si>
    <t>CR</t>
  </si>
  <si>
    <t>Initiations on topic/min（切合话题的言语发起次数/分钟）</t>
  </si>
  <si>
    <t>Baseline（基线期） vs Intervention A（干预A阶段）</t>
  </si>
  <si>
    <t>4.9,4.3,5.4,5.4,4.3</t>
  </si>
  <si>
    <t>1.9,1.1,1.7,2.1,1.9,2.1,2.5,2.4,1.9,2.7</t>
  </si>
  <si>
    <t>次/分钟</t>
  </si>
  <si>
    <t>Fig. 2；PDF第8页，所查看图页未标印刷页码；从上到下第1个CR面板；实心菱形连线，纵轴Initiations on topic/min；图列出Intervention A、Intervention B、Gen.、Maintenance，本行对应首个Intervention A。</t>
  </si>
  <si>
    <t>D0376</t>
  </si>
  <si>
    <t>2.9,2.7</t>
  </si>
  <si>
    <t>Fig. 2；PDF第8页，所查看图页未标印刷页码；从上到下第1个CR面板；实心菱形连线，纵轴Initiations on topic/min；图列出Intervention A、Intervention B、Gen.、Maintenance，本行对应最右侧Maintenance。</t>
  </si>
  <si>
    <t>D0377</t>
  </si>
  <si>
    <t>AK</t>
  </si>
  <si>
    <t>1.4,1.6,1.6,1.6,1.4</t>
  </si>
  <si>
    <t>1.2,0.6,1,0.6,2.2,2.6,2.5,2.8,2.5,2.6</t>
  </si>
  <si>
    <t>Fig. 2；PDF第8页，所查看图页未标印刷页码；从上到下第2个AK面板；实心菱形连线，纵轴Initiations on topic/min；图列出Intervention A、Intervention B、Gen.、Maintenance，本行对应首个Intervention A。</t>
  </si>
  <si>
    <t>D0378</t>
  </si>
  <si>
    <t>2.7,2.7</t>
  </si>
  <si>
    <t>Fig. 2；PDF第8页，所查看图页未标印刷页码；从上到下第2个AK面板；实心菱形连线，纵轴Initiations on topic/min；图列出Intervention A、Intervention B、Gen.、Maintenance，本行对应最右侧Maintenance。</t>
  </si>
  <si>
    <t>D0379</t>
  </si>
  <si>
    <t>CM</t>
  </si>
  <si>
    <t>0.5,0.3,0.1,0.3,0.7,1,0.4</t>
  </si>
  <si>
    <t>1,1.7,0.9,2,2,2.3,2.1,2.2,2.3,2.8</t>
  </si>
  <si>
    <t>Fig. 2；PDF第8页，所查看图页未标印刷页码；从上到下第3个CM面板；实心菱形连线，纵轴Initiations on topic/min；图列出Intervention A、Intervention B、Gen.、Maintenance，本行对应首个Intervention A。</t>
  </si>
  <si>
    <t>D0380</t>
  </si>
  <si>
    <t>2.6,2.9</t>
  </si>
  <si>
    <t>Fig. 2；PDF第8页，所查看图页未标印刷页码；从上到下第3个CM面板；实心菱形连线，纵轴Initiations on topic/min；图列出Intervention A、Intervention B、Gen.、Maintenance，本行对应最右侧Maintenance。</t>
  </si>
  <si>
    <t>D0381</t>
  </si>
  <si>
    <t>NB</t>
  </si>
  <si>
    <t>1,0.9,1.1,1.2,1.2,1,1</t>
  </si>
  <si>
    <t>2,2.1,2.1,2.4,2.3,2.3,2.6,2.9,3.1,3</t>
  </si>
  <si>
    <t>Fig. 2；PDF第8页，所查看图页未标印刷页码；从上到下第4个NB面板；实心菱形连线，纵轴Initiations on topic/min；图列出Intervention A、Intervention B、Gen.、Maintenance，本行对应首个Intervention A。</t>
  </si>
  <si>
    <t>D0382</t>
  </si>
  <si>
    <t>2.9,3</t>
  </si>
  <si>
    <t>Fig. 2；PDF第8页，所查看图页未标印刷页码；从上到下第4个NB面板；实心菱形连线，纵轴Initiations on topic/min；图列出Intervention A、Intervention B、Gen.、Maintenance，本行对应最右侧Maintenance。</t>
  </si>
  <si>
    <t>D0383</t>
  </si>
  <si>
    <t>TD</t>
  </si>
  <si>
    <t>1.7,1.5,1.8,1.4,1.8,1.7,1.5,1.5,1.5</t>
  </si>
  <si>
    <t>2,2.4,2.5,2.1,2.6,2.9,2.7,2.8,3,2.9</t>
  </si>
  <si>
    <t>Fig. 2；PDF第8页，所查看图页未标印刷页码；从上到下第5个TD面板；实心菱形连线，纵轴Initiations on topic/min；图列出Intervention A、Intervention B、Gen.、Maintenance，本行对应首个Intervention A。</t>
  </si>
  <si>
    <t>D0384</t>
  </si>
  <si>
    <t>3,2.8</t>
  </si>
  <si>
    <t>Fig. 2；PDF第8页，所查看图页未标印刷页码；从上到下第5个TD面板；实心菱形连线，纵轴Initiations on topic/min；图列出Intervention A、Intervention B、Gen.、Maintenance，本行对应最右侧Maintenance。</t>
  </si>
  <si>
    <t>D0385</t>
  </si>
  <si>
    <t>Initiations off topic/min（偏离话题的言语发起次数/分钟）</t>
  </si>
  <si>
    <t>0.5,0,1.2,0,0.2</t>
  </si>
  <si>
    <t>0.4,0,0.6,0,0,0,0,0,0.2,0</t>
  </si>
  <si>
    <t>Fig. 3；PDF第9页，所查看图页未标印刷页码；从上到下第1个CR面板；实心菱形连线，纵轴Initiations off topic/min；图列出Intervention A、Intervention B、Gen.、Maintenance，本行对应首个Intervention A。</t>
  </si>
  <si>
    <t>D0386</t>
  </si>
  <si>
    <t>0.2,0</t>
  </si>
  <si>
    <t>Fig. 3；PDF第9页，所查看图页未标印刷页码；从上到下第1个CR面板；实心菱形连线，纵轴Initiations off topic/min；图列出Intervention A、Intervention B、Gen.、Maintenance，本行对应最右侧Maintenance。</t>
  </si>
  <si>
    <t>D0387</t>
  </si>
  <si>
    <t>0.4,0.2,0.5,0.2,0.5</t>
  </si>
  <si>
    <t>0,1.4,1.4,0.4,0,0,0,0,0,0</t>
  </si>
  <si>
    <t>Fig. 3；PDF第9页，所查看图页未标印刷页码；从上到下第2个AK面板；实心菱形连线，纵轴Initiations off topic/min；图列出Intervention A、Intervention B、Gen.、Maintenance，本行对应首个Intervention A。</t>
  </si>
  <si>
    <t>D0388</t>
  </si>
  <si>
    <t>Fig. 3；PDF第9页，所查看图页未标印刷页码；从上到下第2个AK面板；实心菱形连线，纵轴Initiations off topic/min；图列出Intervention A、Intervention B、Gen.、Maintenance，本行对应最右侧Maintenance。</t>
  </si>
  <si>
    <t>D0389</t>
  </si>
  <si>
    <t>1.1,1.5,1.4,1.2,1.2,1.6,1.1</t>
  </si>
  <si>
    <t>0.4,0,0,0,0,0,0,0,0,0.1</t>
  </si>
  <si>
    <t>Fig. 3；PDF第9页，所查看图页未标印刷页码；从上到下第3个CM面板；实心菱形连线，纵轴Initiations off topic/min；图列出Intervention A、Intervention B、Gen.、Maintenance，本行对应首个Intervention A。</t>
  </si>
  <si>
    <t>D0390</t>
  </si>
  <si>
    <t>Fig. 3；PDF第9页，所查看图页未标印刷页码；从上到下第3个CM面板；实心菱形连线，纵轴Initiations off topic/min；图列出Intervention A、Intervention B、Gen.、Maintenance，本行对应最右侧Maintenance。</t>
  </si>
  <si>
    <t>D0391</t>
  </si>
  <si>
    <t>2,1.7,2,2,2.1,2,1.9</t>
  </si>
  <si>
    <t>0,0.2,0,0,0,0,0,0,0,0</t>
  </si>
  <si>
    <t>Fig. 3；PDF第9页，所查看图页未标印刷页码；从上到下第4个NB面板；实心菱形连线，纵轴Initiations off topic/min；图列出Intervention A、Intervention B、Gen.、Maintenance，本行对应首个Intervention A。</t>
  </si>
  <si>
    <t>D0392</t>
  </si>
  <si>
    <t>Fig. 3；PDF第9页，所查看图页未标印刷页码；从上到下第4个NB面板；实心菱形连线，纵轴Initiations off topic/min；图列出Intervention A、Intervention B、Gen.、Maintenance，本行对应最右侧Maintenance。</t>
  </si>
  <si>
    <t>D0393</t>
  </si>
  <si>
    <t>2.3,2.2,1.8,2,2.3,2,2,1.8,1.9</t>
  </si>
  <si>
    <t>0.1,0,0.4,0,0,0,0.2,0,0,0</t>
  </si>
  <si>
    <t>Fig. 3；PDF第9页，所查看图页未标印刷页码；从上到下第5个TD面板；实心菱形连线，纵轴Initiations off topic/min；图列出Intervention A、Intervention B、Gen.、Maintenance，本行对应首个Intervention A。</t>
  </si>
  <si>
    <t>D0394</t>
  </si>
  <si>
    <t>Fig. 3；PDF第9页，所查看图页未标印刷页码；从上到下第5个TD面板；实心菱形连线，纵轴Initiations off topic/min；图列出Intervention A、Intervention B、Gen.、Maintenance，本行对应最右侧Maintenance。</t>
  </si>
  <si>
    <t>D0395</t>
  </si>
  <si>
    <t>Responses on topic/min（切合话题的言语回应次数/分钟）</t>
  </si>
  <si>
    <t>0.7,1,0.9,1,1</t>
  </si>
  <si>
    <t>0.8,0.4,1.1,1.1,1.3,2.1,1.8,2,2.3,2.4</t>
  </si>
  <si>
    <t>Fig. 4；PDF第10页，所查看图页未标印刷页码；从上到下第1个CR面板；实心菱形连线，纵轴Responses on topic/min；图列出Intervention A、Intervention B、Gen.、Maintenance，本行对应首个Intervention A。</t>
  </si>
  <si>
    <t>D0396</t>
  </si>
  <si>
    <t>2.4,2.6</t>
  </si>
  <si>
    <t>Fig. 4；PDF第10页，所查看图页未标印刷页码；从上到下第1个CR面板；实心菱形连线，纵轴Responses on topic/min；图列出Intervention A、Intervention B、Gen.、Maintenance，本行对应最右侧Maintenance。</t>
  </si>
  <si>
    <t>D0397</t>
  </si>
  <si>
    <t>2.1,1.9,2.1,2,2</t>
  </si>
  <si>
    <t>2.8,2.8,3.1,4.3,3.7,3.5,3.6,3.7,3.1,3.6</t>
  </si>
  <si>
    <t>Fig. 4；PDF第10页，所查看图页未标印刷页码；从上到下第2个AK面板；实心菱形连线，纵轴Responses on topic/min；图列出Intervention A、Intervention B、Gen.、Maintenance，本行对应首个Intervention A。</t>
  </si>
  <si>
    <t>D0398</t>
  </si>
  <si>
    <t>3.1,3.2</t>
  </si>
  <si>
    <t>Fig. 4；PDF第10页，所查看图页未标印刷页码；从上到下第2个AK面板；实心菱形连线，纵轴Responses on topic/min；图列出Intervention A、Intervention B、Gen.、Maintenance，本行对应最右侧Maintenance。</t>
  </si>
  <si>
    <t>D0399</t>
  </si>
  <si>
    <t>1.4,1.2,1.4,1.2,1.5,1.1,1.2</t>
  </si>
  <si>
    <t>0.2,0.7,1.4,1.8,1.8,2,2,2.1,1.8,2.6</t>
  </si>
  <si>
    <t>Fig. 4；PDF第10页，所查看图页未标印刷页码；从上到下第3个CM面板；实心菱形连线，纵轴Responses on topic/min；图列出Intervention A、Intervention B、Gen.、Maintenance，本行对应首个Intervention A。</t>
  </si>
  <si>
    <t>D0400</t>
  </si>
  <si>
    <t>Fig. 4；PDF第10页，所查看图页未标印刷页码；从上到下第3个CM面板；实心菱形连线，纵轴Responses on topic/min；图列出Intervention A、Intervention B、Gen.、Maintenance，本行对应最右侧Maintenance。</t>
  </si>
  <si>
    <t>D0401</t>
  </si>
  <si>
    <t>0.5,0.9,0.9,0.7,0.6,0.6,0.7</t>
  </si>
  <si>
    <t>2,1.7,2.1,2.1,2.1,2.3,2.5,2.9,2.8,2.8</t>
  </si>
  <si>
    <t>Fig. 4；PDF第10页，所查看图页未标印刷页码；从上到下第4个NB面板；实心菱形连线，纵轴Responses on topic/min；图列出Intervention A、Intervention B、Gen.、Maintenance，本行对应首个Intervention A。</t>
  </si>
  <si>
    <t>D0402</t>
  </si>
  <si>
    <t>2.9,3.1</t>
  </si>
  <si>
    <t>Fig. 4；PDF第10页，所查看图页未标印刷页码；从上到下第4个NB面板；实心菱形连线，纵轴Responses on topic/min；图列出Intervention A、Intervention B、Gen.、Maintenance，本行对应最右侧Maintenance。</t>
  </si>
  <si>
    <t>D0403</t>
  </si>
  <si>
    <t>1.2,1.5,1,1.3,1.3,1.1,1,1.1,1.3</t>
  </si>
  <si>
    <t>2.8,2.5,1.9,2.5,2.8,2.8,2.6,2.8,2.7,2.7</t>
  </si>
  <si>
    <t>Fig. 4；PDF第10页，所查看图页未标印刷页码；从上到下第5个TD面板；实心菱形连线，纵轴Responses on topic/min；图列出Intervention A、Intervention B、Gen.、Maintenance，本行对应首个Intervention A。</t>
  </si>
  <si>
    <t>D0404</t>
  </si>
  <si>
    <t>2.5,2.3</t>
  </si>
  <si>
    <t>Fig. 4；PDF第10页，所查看图页未标印刷页码；从上到下第5个TD面板；实心菱形连线，纵轴Responses on topic/min；图列出Intervention A、Intervention B、Gen.、Maintenance，本行对应最右侧Maintenance。</t>
  </si>
  <si>
    <t>D0405</t>
  </si>
  <si>
    <t>042-A</t>
  </si>
  <si>
    <t>Percentage Compliance — Maths（数学课中的指令遵从百分比）</t>
  </si>
  <si>
    <t>50,51,44,52,55</t>
  </si>
  <si>
    <t>82,73,71,77,85,69,77</t>
  </si>
  <si>
    <t>Fig. 1；PDF第12页，所查看图页未标印刷页码；Sean图内从上至下第1个Maths面板；实心圆连线；Intervention介于Baseline与Fading之间。</t>
  </si>
  <si>
    <t>D0406</t>
  </si>
  <si>
    <t>Fig. 1；PDF第12页，所查看图页未标印刷页码；Sean图内从上至下第1个Maths面板；实心圆连线；Follow-up区域为最右侧分离点。</t>
  </si>
  <si>
    <t>D0407</t>
  </si>
  <si>
    <t>Percentage Compliance — English（英语课中的指令遵从百分比）</t>
  </si>
  <si>
    <t>43,38,40,23</t>
  </si>
  <si>
    <t>57,71,95,83,87,85</t>
  </si>
  <si>
    <t>Fig. 1；PDF第12页，所查看图页未标印刷页码；Sean图内从上至下第2个English面板；实心圆连线；Intervention介于Baseline与Fading之间。</t>
  </si>
  <si>
    <t>D0408</t>
  </si>
  <si>
    <t>Fig. 1；PDF第12页，所查看图页未标印刷页码；Sean图内从上至下第2个English面板；实心圆连线；Follow-up区域为最右侧分离点。</t>
  </si>
  <si>
    <t>D0409</t>
  </si>
  <si>
    <t>Percentage Compliance — English Support（英语支持课中的指令遵从百分比）</t>
  </si>
  <si>
    <t>45,64,75,50,67,78,60,70,73,73,75</t>
  </si>
  <si>
    <t>95,90</t>
  </si>
  <si>
    <t>Fig. 1；PDF第12页，所查看图页未标印刷页码；Sean图内从上至下第3个English Support面板；实心圆连线；Intervention介于Baseline与Fading之间。</t>
  </si>
  <si>
    <t>D0410</t>
  </si>
  <si>
    <t>93</t>
  </si>
  <si>
    <t>Fig. 1；PDF第12页，所查看图页未标印刷页码；Sean图内从上至下第3个English Support面板；实心圆连线；Follow-up区域为最右侧分离点。</t>
  </si>
  <si>
    <t>D0411</t>
  </si>
  <si>
    <t>John</t>
  </si>
  <si>
    <t>Percentage Compliance — Reading（阅读课中的指令遵从百分比）</t>
  </si>
  <si>
    <t>80,70,80,67,78</t>
  </si>
  <si>
    <t>75,71,86,85,85,100,100,88,88,91</t>
  </si>
  <si>
    <t>Fig. 2；PDF第13页，所查看图页未标印刷页码；John图内从上至下第1个Reading面板；实心圆连线；Intervention介于Baseline与Fading之间。</t>
  </si>
  <si>
    <t>D0412</t>
  </si>
  <si>
    <t>89</t>
  </si>
  <si>
    <t>Fig. 2；PDF第13页，所查看图页未标印刷页码；John图内从上至下第1个Reading面板；实心圆连线；Follow-up区域为最右侧分离点。</t>
  </si>
  <si>
    <t>D0413</t>
  </si>
  <si>
    <t>Percentage Compliance — Writing（写作课中的指令遵从百分比）</t>
  </si>
  <si>
    <t>82,80,60,50,75,50,64,50,67,67</t>
  </si>
  <si>
    <t>100,93,100,94,89</t>
  </si>
  <si>
    <t>Fig. 2；PDF第13页，所查看图页未标印刷页码；John图内从上至下第2个Writing面板；实心圆连线；Intervention介于Baseline与Fading之间。</t>
  </si>
  <si>
    <t>D0414</t>
  </si>
  <si>
    <t>94</t>
  </si>
  <si>
    <t>Fig. 2；PDF第13页，所查看图页未标印刷页码；John图内从上至下第2个Writing面板；实心圆连线；Follow-up区域为最右侧分离点。</t>
  </si>
  <si>
    <t>D0415</t>
  </si>
  <si>
    <t>Percentage Compliance — Numeracy（基础数学课中的指令遵从百分比）</t>
  </si>
  <si>
    <t>73,50,80,33,59,86,60,82,54,45,36,54</t>
  </si>
  <si>
    <t>97,92,89,100</t>
  </si>
  <si>
    <t>Fig. 2；PDF第13页，所查看图页未标印刷页码；John图内从上至下第3个Numeracy面板；实心圆连线；Intervention介于Baseline与Fading之间。</t>
  </si>
  <si>
    <t>D0416</t>
  </si>
  <si>
    <t>Fig. 2；PDF第13页，所查看图页未标印刷页码；John图内从上至下第3个Numeracy面板；实心圆连线；Follow-up区域为最右侧分离点。</t>
  </si>
  <si>
    <t>D0417</t>
  </si>
  <si>
    <t>Percentage On-Task — Maths（数学课中的在任务行为百分比）</t>
  </si>
  <si>
    <t>52,10,46,65,48</t>
  </si>
  <si>
    <t>82,57,67,100,65,70,27</t>
  </si>
  <si>
    <t>Fig. 3；PDF第16页，所查看图页未标印刷页码；Sean图内从上至下第1个Maths面板；实心圆为目标儿童，空心圆为Peer Average（不属于本行）；Intervention介于Baseline与Fading之间。</t>
  </si>
  <si>
    <t>D0418</t>
  </si>
  <si>
    <t>Fig. 3；PDF第16页，所查看图页未标印刷页码；Sean图内从上至下第1个Maths面板；实心圆为目标儿童，空心圆为Peer Average（不属于本行）；Follow-up区域为最右侧分离点。</t>
  </si>
  <si>
    <t>D0419</t>
  </si>
  <si>
    <t>Percentage On-Task — English（英语课中的在任务行为百分比）</t>
  </si>
  <si>
    <t>46,50,23,56</t>
  </si>
  <si>
    <t>65,67,70,85,100,60</t>
  </si>
  <si>
    <t>Fig. 3；PDF第16页，所查看图页未标印刷页码；Sean图内从上至下第2个English面板；实心圆为目标儿童，空心圆为Peer Average（不属于本行）；Intervention介于Baseline与Fading之间。</t>
  </si>
  <si>
    <t>D0420</t>
  </si>
  <si>
    <t>86</t>
  </si>
  <si>
    <t>Fig. 3；PDF第16页，所查看图页未标印刷页码；Sean图内从上至下第2个English面板；实心圆为目标儿童，空心圆为Peer Average（不属于本行）；Follow-up区域为最右侧分离点。</t>
  </si>
  <si>
    <t>D0421</t>
  </si>
  <si>
    <t>Percentage On-Task — English Support（英语支持课中的在任务行为百分比）</t>
  </si>
  <si>
    <t>45,50,53,40,73,75,85,57,65,78,46</t>
  </si>
  <si>
    <t>73,64</t>
  </si>
  <si>
    <t>Fig. 3；PDF第16页，所查看图页未标印刷页码；Sean图内从上至下第3个English Support面板；实心圆为目标儿童，空心圆为Peer Average（不属于本行）；Intervention介于Baseline与Fading之间。</t>
  </si>
  <si>
    <t>D0422</t>
  </si>
  <si>
    <t>95</t>
  </si>
  <si>
    <t>Fig. 3；PDF第16页，所查看图页未标印刷页码；Sean图内从上至下第3个English Support面板；实心圆为目标儿童，空心圆为Peer Average（不属于本行）；Follow-up区域为最右侧分离点。</t>
  </si>
  <si>
    <t>D0423</t>
  </si>
  <si>
    <t>Percentage On-Task — Reading（阅读课中的在任务行为百分比）</t>
  </si>
  <si>
    <t>45,50,43,73,89</t>
  </si>
  <si>
    <t>53,88,100,78,88,68,98,85,64,87</t>
  </si>
  <si>
    <t>Fig. 4；PDF第17页，所查看图页未标印刷页码；John图内从上至下第1个Reading面板；实心圆为目标儿童，空心圆为Peer Average（不属于本行）；Intervention介于Baseline与Fading之间。</t>
  </si>
  <si>
    <t>D0424</t>
  </si>
  <si>
    <t>Fig. 4；PDF第17页，所查看图页未标印刷页码；John图内从上至下第1个Reading面板；实心圆为目标儿童，空心圆为Peer Average（不属于本行）；Follow-up区域为最右侧分离点。</t>
  </si>
  <si>
    <t>D0425</t>
  </si>
  <si>
    <t>Percentage On-Task — Writing（写作课中的在任务行为百分比）</t>
  </si>
  <si>
    <t>45,50,45,51,55,60,64,55,65,55</t>
  </si>
  <si>
    <t>92,87,90,93,88</t>
  </si>
  <si>
    <t>Fig. 4；PDF第17页，所查看图页未标印刷页码；John图内从上至下第2个Writing面板；实心圆为目标儿童，空心圆为Peer Average（不属于本行）；Intervention介于Baseline与Fading之间。</t>
  </si>
  <si>
    <t>D0426</t>
  </si>
  <si>
    <t>Fig. 4；PDF第17页，所查看图页未标印刷页码；John图内从上至下第2个Writing面板；实心圆为目标儿童，空心圆为Peer Average（不属于本行）；Follow-up区域为最右侧分离点。</t>
  </si>
  <si>
    <t>D0427</t>
  </si>
  <si>
    <t>Percentage On-Task — Numeracy（基础数学课中的在任务行为百分比）</t>
  </si>
  <si>
    <t>50,62,60,45,70,60,80,65,80,78,50,56</t>
  </si>
  <si>
    <t>92,97,83,90</t>
  </si>
  <si>
    <t>Fig. 4；PDF第17页，所查看图页未标印刷页码；John图内从上至下第3个Numeracy面板；实心圆为目标儿童，空心圆为Peer Average（不属于本行）；Intervention介于Baseline与Fading之间。</t>
  </si>
  <si>
    <t>D0428</t>
  </si>
  <si>
    <t>88</t>
  </si>
  <si>
    <t>Fig. 4；PDF第17页，所查看图页未标印刷页码；John图内从上至下第3个Numeracy面板；实心圆为目标儿童，空心圆为Peer Average（不属于本行）；Follow-up区域为最右侧分离点。</t>
  </si>
  <si>
    <t>D0429</t>
  </si>
  <si>
    <t>043-A</t>
  </si>
  <si>
    <t>Andy</t>
  </si>
  <si>
    <t>Percentage of Correct Responses（正确反应百分比）</t>
  </si>
  <si>
    <t>67,60,76,62,64</t>
  </si>
  <si>
    <t>87,60,100,71,78,88,100,90,100,91</t>
  </si>
  <si>
    <t>Fig. 1右列（Right panel: Children’s Individualized Target Behaviors）；PDF第13页，所查看图页未标印刷页码；右列从上至下第1个Andy面板；实心圆，纵轴Percentage of Correct Responses；左列实心方块是教师EILT数据，不属于本行；InT/OgC竖虚线为培训/教练时点。</t>
  </si>
  <si>
    <t>D0430</t>
  </si>
  <si>
    <t>Bobo</t>
  </si>
  <si>
    <t>18,0,25,20,33,0</t>
  </si>
  <si>
    <t>0,83,38,0,50,84,100,67,100,91,80</t>
  </si>
  <si>
    <t>Fig. 1右列（Right panel: Children’s Individualized Target Behaviors）；PDF第13页，所查看图页未标印刷页码；右列从上至下第2个Bobo面板；实心圆，纵轴Percentage of Correct Responses；左列实心方块是教师EILT数据，不属于本行；InT/OgC竖虚线为培训/教练时点。</t>
  </si>
  <si>
    <t>D0431</t>
  </si>
  <si>
    <t>Cong</t>
  </si>
  <si>
    <t>0,0,17,0,33,0,0,50,0,20</t>
  </si>
  <si>
    <t>71,67,56,67,30</t>
  </si>
  <si>
    <t>Fig. 1右列（Right panel: Children’s Individualized Target Behaviors）；PDF第13页，所查看图页未标印刷页码；右列从上至下第3个Cong面板；实心圆，纵轴Percentage of Correct Responses；左列实心方块是教师EILT数据，不属于本行；InT/OgC竖虚线为培训/教练时点。</t>
  </si>
  <si>
    <t>D0432</t>
  </si>
  <si>
    <t>044-A</t>
  </si>
  <si>
    <t>Fox</t>
  </si>
  <si>
    <t>The Duration of Social Interaction (Seconds)（社交互动持续时间（秒））</t>
  </si>
  <si>
    <t>秒</t>
  </si>
  <si>
    <t>Fig. 1；PDF第14页，印刷页1134；从上至下第1个Fox面板；实心圆连线，纵轴The Duration of Social Interaction (Seconds)；Baseline与Intervention竖虚线两侧。</t>
  </si>
  <si>
    <t>待审核：基线社交互动时长的图示最大值超出表1报告范围，图表不一致，需核实最高观察点。</t>
  </si>
  <si>
    <t>D0433</t>
  </si>
  <si>
    <t>Fig. 1；PDF第14页，印刷页1134；从上至下第1个Fox面板；实心圆连线，纵轴The Duration of Social Interaction (Seconds)；右侧Maintenance区域。</t>
  </si>
  <si>
    <t>D0434</t>
  </si>
  <si>
    <t>次数</t>
  </si>
  <si>
    <t>Fig. 2；PDF第16页，印刷页1136；从上至下第1个Fox面板；黑色实心方块，图例Initiations；Baseline与Intervention竖虚线两侧。</t>
  </si>
  <si>
    <t>待审核：基线第4次观察的图示读值与表1范围冲突，正文范围却支持图示，原文内部不一致，需核实该点。</t>
  </si>
  <si>
    <t>D0435</t>
  </si>
  <si>
    <t>Fig. 2；PDF第16页，印刷页1136；从上至下第1个Fox面板；黑色实心方块，图例Initiations；右侧Maintenance区域。</t>
  </si>
  <si>
    <t>D0436</t>
  </si>
  <si>
    <t>1,2,3,1,4,5,4,5,5</t>
  </si>
  <si>
    <t>6,7,7,8,9,8,8,7,9,10,9,8,10,9,10,9,10,10</t>
  </si>
  <si>
    <t>Fig. 2；PDF第16页，印刷页1136；从上至下第1个Fox面板；浅灰圆点及浅灰连线，图例Responses；Baseline与Intervention竖虚线两侧。</t>
  </si>
  <si>
    <t>D0437</t>
  </si>
  <si>
    <t>6,7,7,8</t>
  </si>
  <si>
    <t>Fig. 2；PDF第16页，印刷页1136；从上至下第1个Fox面板；浅灰圆点及浅灰连线，图例Responses；右侧Maintenance区域。</t>
  </si>
  <si>
    <t>D0438</t>
  </si>
  <si>
    <t>Fig. 1；PDF第14页，印刷页1134；从上至下第2个Sam面板；实心圆连线，纵轴The Duration of Social Interaction (Seconds)；Baseline与Intervention竖虚线两侧。</t>
  </si>
  <si>
    <t>待审核：基线图示均值及范围与表1不符，干预末段图示值又超出表1上限，无法定位错误来源，需核实两段数据。</t>
  </si>
  <si>
    <t>D0439</t>
  </si>
  <si>
    <t>Fig. 1；PDF第14页，印刷页1134；从上至下第2个Sam面板；实心圆连线，纵轴The Duration of Social Interaction (Seconds)；右侧Maintenance区域。</t>
  </si>
  <si>
    <t>待审核：基线及维持阶段的图示均值、范围均与表1报告不一致，无法定位具体错误点，需核实两个阶段。</t>
  </si>
  <si>
    <t>D0440</t>
  </si>
  <si>
    <t>2,1,3,4,3,3,3,2,3,4,4,4</t>
  </si>
  <si>
    <t>5,7,7,6,7,6,7,6,7,8,8,8,9,8,9</t>
  </si>
  <si>
    <t>Fig. 2；PDF第16页，印刷页1136；从上至下第2个Sam面板；黑色实心方块，图例Initiations；Baseline与Intervention竖虚线两侧。</t>
  </si>
  <si>
    <t>D0441</t>
  </si>
  <si>
    <t>5,6,8,7</t>
  </si>
  <si>
    <t>Fig. 2；PDF第16页，印刷页1136；从上至下第2个Sam面板；黑色实心方块，图例Initiations；右侧Maintenance区域。</t>
  </si>
  <si>
    <t>D0442</t>
  </si>
  <si>
    <t>2,2,3,4,2,4,3,2,4,4,4,4</t>
  </si>
  <si>
    <t>6,7,8,7,7,8,9,8,8,8,9,10,8,9,10</t>
  </si>
  <si>
    <t>Fig. 2；PDF第16页，印刷页1136；从上至下第2个Sam面板；浅灰圆点及浅灰连线，图例Responses；Baseline与Intervention竖虚线两侧。</t>
  </si>
  <si>
    <t>D0443</t>
  </si>
  <si>
    <t>7,7,8,8</t>
  </si>
  <si>
    <t>Fig. 2；PDF第16页，印刷页1136；从上至下第2个Sam面板；浅灰圆点及浅灰连线，图例Responses；右侧Maintenance区域。</t>
  </si>
  <si>
    <t>D0444</t>
  </si>
  <si>
    <t>Nia</t>
  </si>
  <si>
    <t>10,20,30,10,20,25,30,15,20,25,20,30,15,20,30,30,30</t>
  </si>
  <si>
    <t>50,75,65,100,110,150,170,150,180,200</t>
  </si>
  <si>
    <t>Fig. 1；PDF第14页，印刷页1134；从上至下第3个Nia面板；实心圆连线，纵轴The Duration of Social Interaction (Seconds)；Baseline与Intervention竖虚线两侧。</t>
  </si>
  <si>
    <t>D0445</t>
  </si>
  <si>
    <t>140,150,160,165</t>
  </si>
  <si>
    <t>Fig. 1；PDF第14页，印刷页1134；从上至下第3个Nia面板；实心圆连线，纵轴The Duration of Social Interaction (Seconds)；右侧Maintenance区域。</t>
  </si>
  <si>
    <t>D0446</t>
  </si>
  <si>
    <t>2,3,2,4,3,2,2,4,3,3,2,2,3,4,3,3,3</t>
  </si>
  <si>
    <t>5,6,7,7,8,6,7,9,8,9</t>
  </si>
  <si>
    <t>Fig. 2；PDF第16页，印刷页1136；从上至下第3个Nia面板；黑色实心方块，图例Initiations；Baseline与Intervention竖虚线两侧。</t>
  </si>
  <si>
    <t>D0447</t>
  </si>
  <si>
    <t>6,7,7,7</t>
  </si>
  <si>
    <t>Fig. 2；PDF第16页，印刷页1136；从上至下第3个Nia面板；黑色实心方块，图例Initiations；右侧Maintenance区域。</t>
  </si>
  <si>
    <t>D0448</t>
  </si>
  <si>
    <t>Fig. 2；PDF第16页，印刷页1136；从上至下第3个Nia面板；浅灰圆点及浅灰连线，图例Responses；Baseline与Intervention竖虚线两侧。</t>
  </si>
  <si>
    <t>待审核：干预图可见10个观察点，其均值与表1报告不符，尚不能判断具体哪些点或表值有误。</t>
  </si>
  <si>
    <t>D0449</t>
  </si>
  <si>
    <t>1,2,2,3,2,3,3,2,4,3,4,3,2,3,3,3,3</t>
  </si>
  <si>
    <t>6,7,6,6</t>
  </si>
  <si>
    <t>Fig. 2；PDF第16页，印刷页1136；从上至下第3个Nia面板；浅灰圆点及浅灰连线，图例Responses；右侧Maintenance区域。</t>
  </si>
  <si>
    <t>D0450</t>
  </si>
  <si>
    <t>046-A</t>
  </si>
  <si>
    <t>被试1</t>
  </si>
  <si>
    <t>Time Engaged With Peers（与同伴互动的时间百分比）</t>
  </si>
  <si>
    <t>Fig. 1；PDF第8页，所查看图页未标印刷页码；从上至下第1个Participant One面板；黑色实心方块及实线（Student with ASD）；灰圆及灰虚线为Peer Comparison，不属于本行；纵轴Percentage of Time Engaged。</t>
  </si>
  <si>
    <t>待审核：图1被试1和被试2与正文对应的基线均值及干预最小值疑似互换，需先核实被试与曲线的对应关系。</t>
  </si>
  <si>
    <t>D0451</t>
  </si>
  <si>
    <t>Social Initiations To Peers（面向同伴的社交发起）</t>
  </si>
  <si>
    <t>0,0.2,0,0.1,0.1,0,0,0.8,0.1,0,0.1,0.7,0,0.3,0.5,0.4,0.4,0.6,0.4,0,0.3,0.5,0.4,0.4,0.7,0.5,0.8,0.4,0.6,0.4,0.4</t>
  </si>
  <si>
    <t>Fig. 2；PDF第10页，所查看图页未标印刷页码；从上至下第1个Participant One面板；黑色实心方块及实线（Student with ASD）；灰圆及灰虚线为Peer Comparison，不属于本行；纵轴Number of Initiations per Minute。</t>
  </si>
  <si>
    <t>D0452</t>
  </si>
  <si>
    <t>被试2</t>
  </si>
  <si>
    <t>Fig. 1；PDF第8页，所查看图页未标印刷页码；从上至下第2个Participant Two面板；黑色实心方块及实线（Student with ASD）；灰圆及灰虚线为Peer Comparison，不属于本行；纵轴Percentage of Time Engaged。</t>
  </si>
  <si>
    <t>D0453</t>
  </si>
  <si>
    <t>0,0.4,0.2,0.3,0.2,0.5,0,0,0,0,0.1,0.1,0.1,0.1,0,0.2,0.2,0.2,0.5,0.5,0.7,0.7,0.4,1.6,1,0.8,1.2,0,0.4,0.6</t>
  </si>
  <si>
    <t>Fig. 2；PDF第10页，所查看图页未标印刷页码；从上至下第2个Participant Two面板；黑色实心方块及实线（Student with ASD）；灰圆及灰虚线为Peer Comparison，不属于本行；纵轴Number of Initiations per Minute。</t>
  </si>
  <si>
    <t>D0454</t>
  </si>
  <si>
    <t>被试3</t>
  </si>
  <si>
    <t>50,5,35,25,25,40,55</t>
  </si>
  <si>
    <t>100,50,89,100,70,20,95,35,93,65,68,95,33,95,45,70,90,100,100,30,63,85,50,94,75,90,70</t>
  </si>
  <si>
    <t>Fig. 1；PDF第8页，所查看图页未标印刷页码；从上至下第3个Participant Three面板；黑色实心方块及实线（Student with ASD）；灰圆及灰虚线为Peer Comparison，不属于本行；纵轴Percentage of Time Engaged。</t>
  </si>
  <si>
    <t>D0455</t>
  </si>
  <si>
    <t>0.8,0.2,0.4,0.6,0.4,0.8,0.4</t>
  </si>
  <si>
    <t>0.2,0.3,0,0.2,0.2,0.4,0,0.2,0.4,0.5,0.4,0.3,0.2,1.2,0.4,0.4,0.7,1.8,0.7,0.8,1.5,0.2,0.6,0.3,0.6,0.9,0.4</t>
  </si>
  <si>
    <t>Fig. 2；PDF第10页，所查看图页未标印刷页码；从上至下第3个Participant Three面板；黑色实心方块及实线（Student with ASD）；灰圆及灰虚线为Peer Comparison，不属于本行；纵轴Number of Initiations per Minute。</t>
  </si>
  <si>
    <t>D0456</t>
  </si>
  <si>
    <t>被试4</t>
  </si>
  <si>
    <t>0,0,0,40,0,5,20,0</t>
  </si>
  <si>
    <t>75,100,93,40,86,50,60,100,70,60</t>
  </si>
  <si>
    <t>Fig. 1；PDF第8页，所查看图页未标印刷页码；从上至下第4个Participant Four面板；黑色实心方块及实线（Student with ASD）；灰圆及灰虚线为Peer Comparison，不属于本行；纵轴Percentage of Time Engaged。</t>
  </si>
  <si>
    <t>D0457</t>
  </si>
  <si>
    <t>0,0.6,0,0.4,0.3,0,0.2,0</t>
  </si>
  <si>
    <t>0.5,0.6,0.6,0.1,0.2,0,0.6,0.4,0.4,0.2,1,0.2</t>
  </si>
  <si>
    <t>Fig. 2；PDF第10页，所查看图页未标印刷页码；从上至下第4个Participant Four面板；黑色实心方块及实线（Student with ASD）；灰圆及灰虚线为Peer Comparison，不属于本行；纵轴Number of Initiations per Minute。</t>
  </si>
  <si>
    <t>D0458</t>
  </si>
  <si>
    <t>被试6</t>
  </si>
  <si>
    <t>10,20,0,30,60,0,60,55,0,35,30,20,0</t>
  </si>
  <si>
    <t>39,40,35,52,65,73,88,20,38,100,93,83,53,78,100,100,73,100,63,50,100,57,90,10,100,100</t>
  </si>
  <si>
    <t>Fig. 1；PDF第8页，所查看图页未标印刷页码；从上至下第6个Participant Six面板；黑色实心方块及实线（Student with ASD）；灰圆及灰虚线为Peer Comparison，不属于本行；纵轴Percentage of Time Engaged。</t>
  </si>
  <si>
    <t>D0459</t>
  </si>
  <si>
    <t>0,0.6,0,0,0.8,0,1,0.2,0,0.4,0,0.2,0</t>
  </si>
  <si>
    <t>0,0.5,0.3,0.3,0.6,0.4,0.4,1,0,0.8,0.6,0.8,1,0.9,1.4,0.3,1.4,1.4,0.8,0.4,1.4,0.7,0.7,0.7,0.4,0.6,0.5,0.6</t>
  </si>
  <si>
    <t>Fig. 2；PDF第10页，所查看图页未标印刷页码；从上至下第6个Participant Six面板；黑色实心方块及实线（Student with ASD）；灰圆及灰虚线为Peer Comparison，不属于本行；纵轴Number of Initiations per Minute。</t>
  </si>
  <si>
    <t>D0460</t>
  </si>
  <si>
    <t>被试7</t>
  </si>
  <si>
    <t>5,40,80,90,5,30,0,0,5,100,33,45,0,45</t>
  </si>
  <si>
    <t>90,90,97,76,60,78,77,65,100,73,60,83,83,60,20,78,100,93,60,100,88,92,100,98,81,83,100,90,90</t>
  </si>
  <si>
    <t>Fig. 1；PDF第8页，所查看图页未标印刷页码；从上至下第7个Participant Seven面板；黑色实心方块及实线（Student with ASD）；灰圆及灰虚线为Peer Comparison，不属于本行；纵轴Percentage of Time Engaged。</t>
  </si>
  <si>
    <t>D0461</t>
  </si>
  <si>
    <t>0,0,0.6,0.6,0.2,1,0,0,0.2,0.6,0.7,0.6,0,0.6</t>
  </si>
  <si>
    <t>0.2,0.5,0.9,0.4,1.4,0.7,0,0.2,0.5,1.4,0.7,0.7,0.2,0.2,1.5,1.4,0.9,0.7,1.6,1.5,1,0.8,1,0.4,1,0.2,0.6,1</t>
  </si>
  <si>
    <t>Fig. 2；PDF第10页，所查看图页未标印刷页码；从上至下第7个Participant Seven面板；黑色实心方块及实线（Student with ASD）；灰圆及灰虚线为Peer Comparison，不属于本行；纵轴Number of Initiations per Minute。</t>
  </si>
  <si>
    <t>D0462</t>
  </si>
  <si>
    <t>02 Chan 2008</t>
  </si>
  <si>
    <t>Matt</t>
  </si>
  <si>
    <t>Frequency of Inappropriate Social Interaction（不恰当社交互动频次）</t>
  </si>
  <si>
    <t>12,8,12</t>
  </si>
  <si>
    <t>6,4,1,1,1,2,1,2,1,0</t>
  </si>
  <si>
    <t>次/60分钟</t>
  </si>
  <si>
    <t>Figure 1；PDF第4页／印刷第408页；左列上面板（Matt）；黑色实心圆，实线连接；Follow-Up点为不连线实心圆</t>
  </si>
  <si>
    <t>D0463</t>
  </si>
  <si>
    <t>0,0,0,1</t>
  </si>
  <si>
    <t>D0464</t>
  </si>
  <si>
    <t>Percentage of Opportunities of Raising Hand（恰当举手次数占提问机会的百分比）</t>
  </si>
  <si>
    <t>0,8,0,0,0</t>
  </si>
  <si>
    <t>37,20,25,50,66,100,100,50,100</t>
  </si>
  <si>
    <t>Figure 1；PDF第4页／印刷第408页；左列中面板（Matt）；黑色实心圆，实线连接；Follow-Up点为不连线实心圆</t>
  </si>
  <si>
    <t>D0465</t>
  </si>
  <si>
    <t>50,100,100,86</t>
  </si>
  <si>
    <t>D0466</t>
  </si>
  <si>
    <t>Frequency of Inappropriate Vocalizations（不恰当发声频次）</t>
  </si>
  <si>
    <t>34,16,29,29,27,33</t>
  </si>
  <si>
    <t>13,11,16,12</t>
  </si>
  <si>
    <t>Figure 1；PDF第4页／印刷第408页；左列下面板（Matt）；黑色实心圆，实线连接；Follow-Up点为不连线实心圆</t>
  </si>
  <si>
    <t>D0467</t>
  </si>
  <si>
    <t>14,11,9,1</t>
  </si>
  <si>
    <t>D0468</t>
  </si>
  <si>
    <t>03 Blair 2007</t>
  </si>
  <si>
    <t>Minsu</t>
  </si>
  <si>
    <t>Challenging Behavior (Music)（音乐活动中的挑战性行为）</t>
  </si>
  <si>
    <t>Baseline（基线期） vs Physical + Verbal Prompts（身体提示与言语提示）</t>
  </si>
  <si>
    <t>85,82,85,89</t>
  </si>
  <si>
    <t>42,38,38,34,32,30,32,29,32,27,29,24,26,23,26,28</t>
  </si>
  <si>
    <t>观察区间百分比</t>
  </si>
  <si>
    <t>Figure 3；PDF第10页／印刷第143页；上面板（Music，Minsu）；黑色实心圆；Follow-Up取横轴断开后重新编号的末段</t>
  </si>
  <si>
    <t>D0469</t>
  </si>
  <si>
    <t>13,11,11,9,13,11</t>
  </si>
  <si>
    <t>D0470</t>
  </si>
  <si>
    <t>Challenging Behavior (Center)（区域活动中的挑战性行为）</t>
  </si>
  <si>
    <t>80,83,82,82,86,86</t>
  </si>
  <si>
    <t>37,34,33,30,29,28,29,26,24,21,22,18,21,18</t>
  </si>
  <si>
    <t>Figure 3；PDF第10页／印刷第143页；中面板（Center，Minsu）；黑色实心圆；Follow-Up取横轴断开后重新编号的末段</t>
  </si>
  <si>
    <t>D0471</t>
  </si>
  <si>
    <t>13,11,13,14,11,11</t>
  </si>
  <si>
    <t>D0472</t>
  </si>
  <si>
    <t>Challenging Behavior (Circle Time)（围圈集体活动中的挑战性行为）</t>
  </si>
  <si>
    <t>75,85,81,94,91,84,91,93</t>
  </si>
  <si>
    <t>34,35,32,29,27,25,27,25,22,25,22,25</t>
  </si>
  <si>
    <t>Figure 3；PDF第10页／印刷第143页；下面板（Circle Time，Minsu）；黑色实心圆；Follow-Up取横轴断开后重新编号的末段</t>
  </si>
  <si>
    <t>D0473</t>
  </si>
  <si>
    <t>17,15,19,14,20,15</t>
  </si>
  <si>
    <t>D0474</t>
  </si>
  <si>
    <t>Replacement Skill (Music)（音乐活动中的替代性沟通技能）</t>
  </si>
  <si>
    <t>Baseline（基线期） vs 待审核（干预阶段边界未确认）</t>
  </si>
  <si>
    <t>Figure 3；PDF第10页／印刷第143页；上面板（Music，Minsu）；空心圆；Follow-Up取横轴断开后重新编号的末段</t>
  </si>
  <si>
    <t>待审核：干预子阶段边界与正文定义的对应关系不明，且音乐情境替代技能的图示范围与正文不符，需核实分段及读值。</t>
  </si>
  <si>
    <t>D0475</t>
  </si>
  <si>
    <t>17,18,17,16,17,18</t>
  </si>
  <si>
    <t>D0476</t>
  </si>
  <si>
    <t>Replacement Skill (Center)（区域活动中的替代性沟通技能）</t>
  </si>
  <si>
    <t>Figure 3；PDF第10页／印刷第143页；中面板（Center，Minsu）；空心圆；Follow-Up取横轴断开后重新编号的末段</t>
  </si>
  <si>
    <t>待审核：图中干预标题位置与正文三个提示子阶段的定义存在歧义，无法确定首个干预阶段应包含哪些观察点。</t>
  </si>
  <si>
    <t>D0477</t>
  </si>
  <si>
    <t>16,16,16,14,15,16</t>
  </si>
  <si>
    <t>D0478</t>
  </si>
  <si>
    <t>Replacement Skill (Circle Time)（围圈集体活动中的替代性沟通技能）</t>
  </si>
  <si>
    <t>Figure 3；PDF第10页／印刷第143页；下面板（Circle Time，Minsu）；空心圆；Follow-Up取横轴断开后重新编号的末段</t>
  </si>
  <si>
    <t>D0479</t>
  </si>
  <si>
    <t>12,12,16,17,16,17</t>
  </si>
  <si>
    <t>D0480</t>
  </si>
  <si>
    <t>Appropriate Behavior (Music)（音乐活动中的恰当行为）</t>
  </si>
  <si>
    <t>Figure 3；PDF第10页／印刷第143页；上面板（Music，Minsu）；空心三角；Follow-Up取横轴断开后重新编号的末段</t>
  </si>
  <si>
    <t>D0481</t>
  </si>
  <si>
    <t>25</t>
  </si>
  <si>
    <t>D0482</t>
  </si>
  <si>
    <t>Appropriate Behavior (Center)（区域活动中的恰当行为）</t>
  </si>
  <si>
    <t>Figure 3；PDF第10页／印刷第143页；中面板（Center，Minsu）；空心三角；Follow-Up取横轴断开后重新编号的末段</t>
  </si>
  <si>
    <t>待审核：中心活动基线图示值与正文范围冲突，同时干预子阶段边界存在歧义，需核实基线和前后段对应关系。</t>
  </si>
  <si>
    <t>D0483</t>
  </si>
  <si>
    <t>待审核：中心活动基线图示值与正文报告范围不一致，尚不能确定错误来源，需核实该基线后再确认比较。</t>
  </si>
  <si>
    <t>D0484</t>
  </si>
  <si>
    <t>Appropriate Behavior (Circle Time)（围圈集体活动中的恰当行为）</t>
  </si>
  <si>
    <t>Figure 3；PDF第10页／印刷第143页；下面板（Circle Time，Minsu）；空心三角；Follow-Up取横轴断开后重新编号的末段</t>
  </si>
  <si>
    <t>待审核：集体活动基线图示点与正文范围及均值不符，可能存在未画点，同时干预子阶段边界尚未确认。</t>
  </si>
  <si>
    <t>D0485</t>
  </si>
  <si>
    <t>待审核：集体活动图中可见的基线点与正文报告范围及均值不一致，可能存在未画点，不能据正文补齐。</t>
  </si>
  <si>
    <t>D0486</t>
  </si>
  <si>
    <t>04 Cihak 2010</t>
  </si>
  <si>
    <t>Ian</t>
  </si>
  <si>
    <t>Percentage of Independent Transitions（独立完成活动地点转换的百分比）</t>
  </si>
  <si>
    <t>Baseline（基线期） vs Video Modeling（视频示范）</t>
  </si>
  <si>
    <t>0,10,0,10,0</t>
  </si>
  <si>
    <t>60,50,60,100,90,90,100,100,100</t>
  </si>
  <si>
    <t>Figure 1；PDF第9页／印刷第8页；第1面板（Ian，自上而下）；黑色实心圆，实线连接；Maintenance为最右单个实心圆</t>
  </si>
  <si>
    <t>D0487</t>
  </si>
  <si>
    <t>No VM（撤除视频示范的条件） vs Video Modeling（视频示范）</t>
  </si>
  <si>
    <t>30,30,10</t>
  </si>
  <si>
    <t>70,100,100,100</t>
  </si>
  <si>
    <t>D0488</t>
  </si>
  <si>
    <t>D0489</t>
  </si>
  <si>
    <t>Jose</t>
  </si>
  <si>
    <t>0,30,0,0,0</t>
  </si>
  <si>
    <t>20,20,40,50,100,80,80,100,70,100,100,100</t>
  </si>
  <si>
    <t>Figure 1；PDF第9页／印刷第8页；第2面板（Jose，自上而下）；黑色实心圆，实线连接；Maintenance为最右单个实心圆</t>
  </si>
  <si>
    <t>D0490</t>
  </si>
  <si>
    <t>40,30,10</t>
  </si>
  <si>
    <t>60,60,70,60,100,90,100,100,100</t>
  </si>
  <si>
    <t>D0491</t>
  </si>
  <si>
    <t>D0492</t>
  </si>
  <si>
    <t>Ida</t>
  </si>
  <si>
    <t>20,20,0,0,0</t>
  </si>
  <si>
    <t>50,50,70,80,80,80,80,100,100,100</t>
  </si>
  <si>
    <t>Figure 1；PDF第9页／印刷第8页；第3面板（Ida，自上而下）；黑色实心圆，实线连接；Maintenance为最右单个实心圆</t>
  </si>
  <si>
    <t>D0493</t>
  </si>
  <si>
    <t>50,50,40</t>
  </si>
  <si>
    <t>50,100,100,100</t>
  </si>
  <si>
    <t>D0494</t>
  </si>
  <si>
    <t>D0495</t>
  </si>
  <si>
    <t>Dave</t>
  </si>
  <si>
    <t>20,10,10,10,0</t>
  </si>
  <si>
    <t>10,20,40,50,90,80,90,80,70,90,100,90,100,100,100</t>
  </si>
  <si>
    <t>Figure 1；PDF第9页／印刷第8页；第4面板（Dave，自上而下）；黑色实心圆，实线连接；Maintenance为最右单个实心圆</t>
  </si>
  <si>
    <t>D0496</t>
  </si>
  <si>
    <t>50,60,30</t>
  </si>
  <si>
    <t>70,100,70,100,100,80,80,100,100,100</t>
  </si>
  <si>
    <t>D0497</t>
  </si>
  <si>
    <t>D0498</t>
  </si>
  <si>
    <t>05 Cihak 2010</t>
  </si>
  <si>
    <t>Adam</t>
  </si>
  <si>
    <t>Task Engagement (Lang. Arts)（语言艺术课中的任务参与行为）</t>
  </si>
  <si>
    <t>Baseline（基线期） vs Handheld（掌上电脑辅助自我监控及静态自我示范图片提示）</t>
  </si>
  <si>
    <t>58,30,50,40,18</t>
  </si>
  <si>
    <t>76,86,95,100,98</t>
  </si>
  <si>
    <t>Figure 1；PDF第7页／印刷第142页；上面板（Adam，Lang. Arts）；黑色实心圆＝Task engagement，读左纵轴；空心圆为Prompts，读右纵轴，不计入本行</t>
  </si>
  <si>
    <t>D0499</t>
  </si>
  <si>
    <t>No Handheld（不使用掌上电脑的条件） vs Handheld（掌上电脑辅助自我监控及静态自我示范图片提示）</t>
  </si>
  <si>
    <t>40,23,23</t>
  </si>
  <si>
    <t>95,97,98</t>
  </si>
  <si>
    <t>D0500</t>
  </si>
  <si>
    <t>Task Engagement (Reading)（阅读课中的任务参与行为）</t>
  </si>
  <si>
    <t>40,40,40,45,40,32,30,25,21</t>
  </si>
  <si>
    <t>89,89,98,100,98</t>
  </si>
  <si>
    <t>Figure 1；PDF第7页／印刷第142页；中面板（Adam，Reading）；黑色实心圆＝Task engagement，读左纵轴；空心圆为Prompts，读右纵轴，不计入本行</t>
  </si>
  <si>
    <t>D0501</t>
  </si>
  <si>
    <t>Task Engagement (Math)（数学课中的任务参与行为）</t>
  </si>
  <si>
    <t>37,28,18,18,32,30,28,30,25,20</t>
  </si>
  <si>
    <t>87,90,97,98,100</t>
  </si>
  <si>
    <t>Figure 1；PDF第7页／印刷第142页；下面板（Adam，Math）；黑色实心圆＝Task engagement，读左纵轴；空心圆为Prompts，读右纵轴，不计入本行</t>
  </si>
  <si>
    <t>D0502</t>
  </si>
  <si>
    <t>Jordan</t>
  </si>
  <si>
    <t>Task Engagement (So. Studies)（社会科课程中的任务参与行为）</t>
  </si>
  <si>
    <t>50,44,33,30,33</t>
  </si>
  <si>
    <t>80,83,93,88,97,98,98</t>
  </si>
  <si>
    <t>Figure 2；PDF第8页／印刷第143页；上面板（Jordan，So. Studies）；黑色实心圆＝Task engagement，读左纵轴；空心圆为Prompts，读右纵轴，不计入本行</t>
  </si>
  <si>
    <t>D0503</t>
  </si>
  <si>
    <t>33,25,20</t>
  </si>
  <si>
    <t>95,100,98</t>
  </si>
  <si>
    <t>D0504</t>
  </si>
  <si>
    <t>53,54,33,33,40,33,25,33,25,23</t>
  </si>
  <si>
    <t>83,92,97,98,100</t>
  </si>
  <si>
    <t>Figure 2；PDF第8页／印刷第143页；中面板（Jordan，Lang. Arts）；黑色实心圆＝Task engagement，读左纵轴；空心圆为Prompts，读右纵轴，不计入本行</t>
  </si>
  <si>
    <t>D0505</t>
  </si>
  <si>
    <t>45,44,30,40,37,35,32,25,21</t>
  </si>
  <si>
    <t>83,90,87,85,100,98,98</t>
  </si>
  <si>
    <t>Figure 2；PDF第8页／印刷第143页；下面板（Jordan，Math）；黑色实心圆＝Task engagement，读左纵轴；空心圆为Prompts，读右纵轴，不计入本行</t>
  </si>
  <si>
    <t>D0506</t>
  </si>
  <si>
    <t>Richard</t>
  </si>
  <si>
    <t>20,21,13,21,20</t>
  </si>
  <si>
    <t>67,75,72,83,85,97,95,98</t>
  </si>
  <si>
    <t>Figure 3；PDF第10页／印刷第145页；上面板（Richard，Lang. Arts）；黑色实心圆＝Task engagement，读左纵轴；空心圆为Prompts，读右纵轴，不计入本行</t>
  </si>
  <si>
    <t>D0507</t>
  </si>
  <si>
    <t>28,23,20</t>
  </si>
  <si>
    <t>98,97,100</t>
  </si>
  <si>
    <t>D0508</t>
  </si>
  <si>
    <t>Task Engagement (Science)（科学课中的任务参与行为）</t>
  </si>
  <si>
    <t>15,20,17,18,17,15,18,21,20,18</t>
  </si>
  <si>
    <t>77,78,83,90,95,100,98</t>
  </si>
  <si>
    <t>Figure 3；PDF第10页／印刷第145页；中面板（Richard，Science）；黑色实心圆＝Task engagement，读左纵轴；空心圆为Prompts，读右纵轴，不计入本行</t>
  </si>
  <si>
    <t>D0509</t>
  </si>
  <si>
    <t>15,20,17,18,17,20,18,15,12,13,10,10</t>
  </si>
  <si>
    <t>83,90,100,98,98</t>
  </si>
  <si>
    <t>Figure 3；PDF第10页／印刷第145页；下面板（Richard，Math）；黑色实心圆＝Task engagement，读左纵轴；空心圆为Prompts，读右纵轴，不计入本行</t>
  </si>
  <si>
    <t>D0510</t>
  </si>
  <si>
    <t>09 Gena 2006</t>
  </si>
  <si>
    <t>Eva</t>
  </si>
  <si>
    <t>BASELINE（基线期） vs SOCIAL REINFORCEMENT &amp; PROMPTING（社会性强化与提示）</t>
  </si>
  <si>
    <t>11,19,7,7,3,3,13,29,31</t>
  </si>
  <si>
    <t>次/30分钟观察</t>
  </si>
  <si>
    <t>Figure 2；PDF第11页／印刷第550页；第1面板（Eva，自上而下）；黑色实心圆＝Shadow Therapist；空心圆＝New Therapist，不计入本行</t>
  </si>
  <si>
    <t>D0511</t>
  </si>
  <si>
    <t>Percentage of Replies to Peer Initiations（对同伴社交发起的回应百分比）</t>
  </si>
  <si>
    <t>71,69,58,50,25,29,66,63,57</t>
  </si>
  <si>
    <t>Figure 3；PDF第12页／印刷第551页；第1面板（Eva，自上而下）；黑色实心圆＝Shadow Therapist；空心圆＝New Therapist，不计入本行</t>
  </si>
  <si>
    <t>D0512</t>
  </si>
  <si>
    <t>Lena</t>
  </si>
  <si>
    <t>Figure 2；PDF第11页／印刷第550页；第2面板（Lena，自上而下）；黑色实心圆＝Shadow Therapist；空心圆＝New Therapist，不计入本行</t>
  </si>
  <si>
    <t>待审核：基线五个图示点的均值与正文报告不一致，尚不能定位具体错误点，需核实原始基线记录。</t>
  </si>
  <si>
    <t>D0513</t>
  </si>
  <si>
    <t>21,25,0,11,21</t>
  </si>
  <si>
    <t>67,86,42,76,57,84,93</t>
  </si>
  <si>
    <t>Figure 3；PDF第12页／印刷第551页；第2面板（Lena，自上而下）；黑色实心圆＝Shadow Therapist；空心圆＝New Therapist，不计入本行</t>
  </si>
  <si>
    <t>D0514</t>
  </si>
  <si>
    <t>Andrew</t>
  </si>
  <si>
    <t>Figure 2；PDF第11页／印刷第550页；第3面板（Andrew，自上而下）；黑色实心圆＝Shadow Therapist；空心圆＝New Therapist，不计入本行</t>
  </si>
  <si>
    <t>待审核：干预图示最小值与正文报告的下限不一致，尚不能确定差异来源，需核实对应观察点。</t>
  </si>
  <si>
    <t>D0515</t>
  </si>
  <si>
    <t>0,0,0,0,0,0,0,0</t>
  </si>
  <si>
    <t>83,50,67,81,57,54,61,73,90,67,89,81</t>
  </si>
  <si>
    <t>Figure 3；PDF第12页／印刷第551页；第3面板（Andrew，自上而下）；黑色实心圆＝Shadow Therapist；空心圆＝New Therapist，不计入本行</t>
  </si>
  <si>
    <t>D0516</t>
  </si>
  <si>
    <t>Cory</t>
  </si>
  <si>
    <t>Figure 2；PDF第11页／印刷第550页；第4面板（Cory，自上而下）；黑色实心圆＝Shadow Therapist；空心圆＝New Therapist，不计入本行</t>
  </si>
  <si>
    <t>待审核：干预图示点的均值与正文报告不一致，尚不能判断是读图偏差还是文字误差，需核实干预序列。</t>
  </si>
  <si>
    <t>D0517</t>
  </si>
  <si>
    <t>0,0,0,0,0,0,0,0,0,0</t>
  </si>
  <si>
    <t>0,17,21,33,38,33,50,29,25,61,61</t>
  </si>
  <si>
    <t>Figure 3；PDF第12页／印刷第551页；第4面板（Cory，自上而下）；黑色实心圆＝Shadow Therapist；空心圆＝New Therapist，不计入本行</t>
  </si>
  <si>
    <t>D0518</t>
  </si>
  <si>
    <t>11 Hochman 2015</t>
  </si>
  <si>
    <t>Brody</t>
  </si>
  <si>
    <t>Social engagement（社交参与）</t>
  </si>
  <si>
    <t>Baseline（基线期） vs Peer network（同伴网络干预）</t>
  </si>
  <si>
    <t>15.1,22.1,23.4,25.1,13.4</t>
  </si>
  <si>
    <t>35,71.8,98.4,73.4,55.1,53.4,30.1,56.7,60,56.7</t>
  </si>
  <si>
    <t>Figure 1；PDF第11页／印刷第106页；第1面板（Brody，自上而下）；黑色实心菱形（图注称closed squares）</t>
  </si>
  <si>
    <t>D0519</t>
  </si>
  <si>
    <t>Baseline（基线期） vs Peer network (Engagement probe)（同伴网络干预期的社交参与测查）</t>
  </si>
  <si>
    <t>33.4,48.1,27,53,27,52.1,15.1,52.1,63</t>
  </si>
  <si>
    <t>Figure 1；PDF第11页／印刷第106页；第1面板（Brody，自上而下）；空心菱形（图注称open squares）；前段Baseline使用对应结局的实心标记，后段使用空心probe标记</t>
  </si>
  <si>
    <t>D0520</t>
  </si>
  <si>
    <t>Peer interactions（同伴互动）</t>
  </si>
  <si>
    <t>15.1,17.1,15.1,18.4,5</t>
  </si>
  <si>
    <t>30.1,75.1,90.1,71.8,53.4,53.4,26.7,53.4,56.7,57.1</t>
  </si>
  <si>
    <t>Figure 1；PDF第11页／印刷第106页；第1面板（Brody，自上而下）；黑色实心圆</t>
  </si>
  <si>
    <t>D0521</t>
  </si>
  <si>
    <t>Baseline（基线期） vs Peer network (Interaction probe)（同伴网络干预期的社交互动测查）</t>
  </si>
  <si>
    <t>30.1,57.1,23,50.1,22.1,50.1,17.1,50.1,62</t>
  </si>
  <si>
    <t>Figure 1；PDF第11页／印刷第106页；第1面板（Brody，自上而下）；空心圆；前段Baseline使用对应结局的实心标记，后段使用空心probe标记</t>
  </si>
  <si>
    <t>D0522</t>
  </si>
  <si>
    <t>Taylor</t>
  </si>
  <si>
    <t>13.4,38.4,21.7,1.7,1.7,1.7,2.7</t>
  </si>
  <si>
    <t>58.4,45.1,48.4,31.7,31.7</t>
  </si>
  <si>
    <t>Figure 1；PDF第11页／印刷第106页；第3面板（Taylor，自上而下）；黑色实心菱形（图注称closed squares）</t>
  </si>
  <si>
    <t>D0523</t>
  </si>
  <si>
    <t>1.7,3.4,0,10</t>
  </si>
  <si>
    <t>Figure 1；PDF第11页／印刷第106页；第3面板（Taylor，自上而下）；空心菱形（图注称open squares）；前段Baseline使用对应结局的实心标记，后段使用空心probe标记</t>
  </si>
  <si>
    <t>D0524</t>
  </si>
  <si>
    <t>21.7,35.1,48.4,20,36.8</t>
  </si>
  <si>
    <t>Figure 1；PDF第11页／印刷第106页；第3面板（Taylor，自上而下）；黑色实心圆</t>
  </si>
  <si>
    <t>D0525</t>
  </si>
  <si>
    <t>0,3.4,0,5</t>
  </si>
  <si>
    <t>Figure 1；PDF第11页／印刷第106页；第3面板（Taylor，自上而下）；空心圆；前段Baseline使用对应结局的实心标记，后段使用空心probe标记</t>
  </si>
  <si>
    <t>D0526</t>
  </si>
  <si>
    <t>Kevin</t>
  </si>
  <si>
    <t>38.4,31.7,36.7,10.1,46.7,10.1,0,0,0,25</t>
  </si>
  <si>
    <t>51.7,76.7,63.3,48.4,72.4,56.7</t>
  </si>
  <si>
    <t>Figure 1；PDF第11页／印刷第106页；第4面板（Kevin，自上而下）；黑色实心菱形（图注称closed squares）</t>
  </si>
  <si>
    <t>D0527</t>
  </si>
  <si>
    <t>6.7</t>
  </si>
  <si>
    <t>Figure 1；PDF第11页／印刷第106页；第4面板（Kevin，自上而下）；空心菱形（图注称open squares）；前段Baseline使用对应结局的实心标记，后段使用空心probe标记</t>
  </si>
  <si>
    <t>D0528</t>
  </si>
  <si>
    <t>6.7,8.4,1.7,0,20,3.3,0,0,0,3.3</t>
  </si>
  <si>
    <t>50.1,78.4,50.1,48.4,63.8,50.1</t>
  </si>
  <si>
    <t>Figure 1；PDF第11页／印刷第106页；第4面板（Kevin，自上而下）；黑色实心圆</t>
  </si>
  <si>
    <t>D0529</t>
  </si>
  <si>
    <t>3.3</t>
  </si>
  <si>
    <t>Figure 1；PDF第11页／印刷第106页；第4面板（Kevin，自上而下）；空心圆；前段Baseline使用对应结局的实心标记，后段使用空心probe标记</t>
  </si>
  <si>
    <t>D0530</t>
  </si>
  <si>
    <t>17 Kern 2006</t>
  </si>
  <si>
    <t>Eric</t>
  </si>
  <si>
    <t>Positive peer interactions（积极同伴互动）</t>
  </si>
  <si>
    <t>Adaptation of the playground（操场环境调整） vs Teacher-mediated intervention（教师介入干预）</t>
  </si>
  <si>
    <t>33,40,18,8,8,3,30,10,3</t>
  </si>
  <si>
    <t>35,60,68,33,60,60,43,45,45,40</t>
  </si>
  <si>
    <t>Figure 1；PDF第16页／印刷第285页；第1面板（Eric，自上而下）；空心圆＝Unsupported Interaction；黑色实心圆＝Supported Interaction；原图阶段仅标字母，全称据正文方法段</t>
  </si>
  <si>
    <t>前段为Adaptation of the playground，不作为原始基线检验趋势。</t>
  </si>
  <si>
    <t>D0531</t>
  </si>
  <si>
    <t>待审核（比较方式未确定）</t>
  </si>
  <si>
    <t>Figure 1；PDF第16页／印刷第285页；第2面板（Ben，自上而下）；空心圆＝Unsupported Interaction；黑色实心圆＝Supported Interaction；原图阶段仅标字母，全称据正文方法段</t>
  </si>
  <si>
    <t>待审核：教师介入阶段第12个观察点的图示值超出正文报告上限，图文范围冲突，需核实对应数据。</t>
  </si>
  <si>
    <t>D0532</t>
  </si>
  <si>
    <t>Phillip</t>
  </si>
  <si>
    <t>Figure 1；PDF第16页／印刷第285页；第3面板（图中Philip／正文Phillip，自上而下）；空心圆＝Unsupported Interaction；黑色实心圆＝Supported Interaction；原图阶段仅标字母，全称据正文方法段</t>
  </si>
  <si>
    <t>待审核：教师介入阶段第15、18个观察点的图示值超出正文报告上限，需核实两点后确认比较序列。</t>
  </si>
  <si>
    <t>D0533</t>
  </si>
  <si>
    <t>Lucas</t>
  </si>
  <si>
    <t>Figure 1；PDF第16页／印刷第285页；第4面板（Lucas，自上而下）；空心圆＝Unsupported Interaction；黑色实心圆＝Supported Interaction；原图阶段仅标字母，全称据正文方法段</t>
  </si>
  <si>
    <t>待审核：教师介入阶段第4个观察点的图示值超出正文报告上限，图文范围冲突，需核实对应数据。</t>
  </si>
  <si>
    <t>D0534</t>
  </si>
  <si>
    <t>21 Loftin 2008</t>
  </si>
  <si>
    <t>Stuart</t>
  </si>
  <si>
    <t>Baseline（基线期） vs Peer Training &amp; Direct Instruction（同伴培训与直接教学）</t>
  </si>
  <si>
    <t>6.67,13.33,6.67,0,0</t>
  </si>
  <si>
    <t>6.67,6.67,13.33,13.33,40,60</t>
  </si>
  <si>
    <t>Fig. 1；PDF第7页／印刷第1130页；第1面板（Stuart，自上而下）；黑色实心圆；干预比较仅取Self-Monitor／Self-Mon.之前的第一子阶段</t>
  </si>
  <si>
    <t>D0535</t>
  </si>
  <si>
    <t>73.33,46.67,33.33,53.33</t>
  </si>
  <si>
    <t>D0536</t>
  </si>
  <si>
    <t>Anthony</t>
  </si>
  <si>
    <t>13.33,0,0,0,0,0</t>
  </si>
  <si>
    <t>0,6.67,13.33,6.67,13.33,40</t>
  </si>
  <si>
    <t>Fig. 1；PDF第7页／印刷第1130页；第2面板（Anthony，自上而下）；黑色实心圆；干预比较仅取Self-Monitor／Self-Mon.之前的第一子阶段</t>
  </si>
  <si>
    <t>D0537</t>
  </si>
  <si>
    <t>20,26.67,40</t>
  </si>
  <si>
    <t>D0538</t>
  </si>
  <si>
    <t>William</t>
  </si>
  <si>
    <t>13.33,33.33,40,40</t>
  </si>
  <si>
    <t>Fig. 1；PDF第7页／印刷第1130页；第3面板（William，自上而下）；黑色实心圆；干预比较仅取Self-Monitor／Self-Mon.之前的第一子阶段</t>
  </si>
  <si>
    <t>D0539</t>
  </si>
  <si>
    <t>0,60</t>
  </si>
  <si>
    <t>D0540</t>
  </si>
  <si>
    <t>social interaction（社交互动）</t>
  </si>
  <si>
    <t>Baseline（基线期） vs Peer Train. &amp; Direct Instruction（同伴培训与直接教学）</t>
  </si>
  <si>
    <t>13.33,33.33,33.33,26.67,20</t>
  </si>
  <si>
    <t>60,46.67,53.33,66.67,100,100</t>
  </si>
  <si>
    <t>Fig. 2；PDF第8页／印刷第1131页；第1面板（Stuart，自上而下）；黑色实心三角、虚线连接，图右箭头标注social interaction；干预比较仅取Self-Monitor／Self-Mon.之前的第一子阶段</t>
  </si>
  <si>
    <t>D0541</t>
  </si>
  <si>
    <t>100,53.33,80,100</t>
  </si>
  <si>
    <t>D0542</t>
  </si>
  <si>
    <t>repetitive motor movement（重复性动作）</t>
  </si>
  <si>
    <t>66.67,33.33,60,33.33,60</t>
  </si>
  <si>
    <t>26.67,26.67,6.67,20,6.67,6.67</t>
  </si>
  <si>
    <t>Fig. 2；PDF第8页／印刷第1131页；第1面板（Stuart，自上而下）；黑色正方形内带白色十字，实线连接，图右箭头标注repetitive motor movement；干预比较仅取Self-Monitor／Self-Mon.之前的第一子阶段</t>
  </si>
  <si>
    <t>D0543</t>
  </si>
  <si>
    <t>0,6.67,0,13.33</t>
  </si>
  <si>
    <t>D0544</t>
  </si>
  <si>
    <t>13.33,0,13.33,0,0,0</t>
  </si>
  <si>
    <t>73.33,33.33,86.67,86.67,80,80</t>
  </si>
  <si>
    <t>Fig. 2；PDF第8页／印刷第1131页；第2面板（Anthony，自上而下）；黑色实心三角、虚线连接，图右箭头标注social interaction；干预比较仅取Self-Monitor／Self-Mon.之前的第一子阶段</t>
  </si>
  <si>
    <t>D0545</t>
  </si>
  <si>
    <t>86.67,100,73.33</t>
  </si>
  <si>
    <t>D0546</t>
  </si>
  <si>
    <t>93.33,80,40,53.33,60,60</t>
  </si>
  <si>
    <t>13.33,20,13.33,33.33,0,13.33</t>
  </si>
  <si>
    <t>Fig. 2；PDF第8页／印刷第1131页；第2面板（Anthony，自上而下）；黑色正方形内带白色十字，实线连接，图右箭头标注repetitive motor movement；干预比较仅取Self-Monitor／Self-Mon.之前的第一子阶段</t>
  </si>
  <si>
    <t>D0547</t>
  </si>
  <si>
    <t>6.67,26.67,13.33</t>
  </si>
  <si>
    <t>D0548</t>
  </si>
  <si>
    <t>0,40,46.67,6.67</t>
  </si>
  <si>
    <t>86.67,86.67,93.33,100</t>
  </si>
  <si>
    <t>Fig. 2；PDF第8页／印刷第1131页；第3面板（William，自上而下）；黑色实心三角、虚线连接，图右箭头标注social interaction；干预比较仅取Self-Monitor／Self-Mon.之前的第一子阶段</t>
  </si>
  <si>
    <t>D0549</t>
  </si>
  <si>
    <t>13.33,93.33</t>
  </si>
  <si>
    <t>D0550</t>
  </si>
  <si>
    <t>53.33,73.33,73.33</t>
  </si>
  <si>
    <t>20,26.67,20,6.67</t>
  </si>
  <si>
    <t>Fig. 2；PDF第8页／印刷第1131页；第3面板（William，自上而下）；黑色正方形内带白色十字，实线连接，图右箭头标注repetitive motor movement；干预比较仅取Self-Monitor／Self-Mon.之前的第一子阶段</t>
  </si>
  <si>
    <t>D0551</t>
  </si>
  <si>
    <t>20,13.33</t>
  </si>
  <si>
    <t>D0552</t>
  </si>
  <si>
    <t>22 Mason 2014</t>
  </si>
  <si>
    <t>Number of Communicative Acts（沟通行为次数）</t>
  </si>
  <si>
    <t>baseline（基线期） vs intervention（干预期）</t>
  </si>
  <si>
    <t>Figure 2；PDF第18页／稿件印刷Page 18（期刊页码未标）；上面板（Sam）；黑色实心圆、实线连接；阶段名称取自Figure 2图注</t>
  </si>
  <si>
    <t>待审核：图中仅能确定观察点先后，相关面板与公共横轴的准确会话号对应尚未确认，需核实时间顺序标识。</t>
  </si>
  <si>
    <t>D0553</t>
  </si>
  <si>
    <t>Ed</t>
  </si>
  <si>
    <t>Figure 2；PDF第18页／稿件印刷Page 18（期刊页码未标）；中面板（Ed）；黑色实心圆、实线连接；阶段名称取自Figure 2图注</t>
  </si>
  <si>
    <t>D0554</t>
  </si>
  <si>
    <t>Brian</t>
  </si>
  <si>
    <t>Figure 2；PDF第18页／稿件印刷Page 18（期刊页码未标）；下面板（Brian）；黑色实心圆、实线连接；阶段名称取自Figure 2图注</t>
  </si>
  <si>
    <t>待审核：基线9个图示点的均值与正文报告不符，且准确会话号尚未确认，需同时核实基线读值和时间对应。</t>
  </si>
  <si>
    <t>D0555</t>
  </si>
  <si>
    <t>23 McCurdy 2014</t>
  </si>
  <si>
    <t>Jack</t>
  </si>
  <si>
    <t>Off-Task Behavior（离任务行为）</t>
  </si>
  <si>
    <t>Baseline（基线期） vs Peer Support Intervention（同伴支持干预）</t>
  </si>
  <si>
    <t>44,46,90,96</t>
  </si>
  <si>
    <t>35,8,21,21,19,4,15,2,4,6,12,8</t>
  </si>
  <si>
    <t>Fig. 1；PDF第7页／印刷第889页；上面板（Jack）；黑色实心正方形、实线连接；灰色空心三角为Peer，不计入本行</t>
  </si>
  <si>
    <t>D0556</t>
  </si>
  <si>
    <t>Chase</t>
  </si>
  <si>
    <t>44,50,92,73,77,81,69,100</t>
  </si>
  <si>
    <t>27,17,17,19,8,17,17,8,10,10</t>
  </si>
  <si>
    <t>Fig. 1；PDF第7页／印刷第889页；中面板（Chase）；黑色实心正方形、实线连接；灰色空心三角为Peer，不计入本行</t>
  </si>
  <si>
    <t>D0557</t>
  </si>
  <si>
    <t>Scott</t>
  </si>
  <si>
    <t>50,86,67,81,77,80,71,37,88,90,90,86</t>
  </si>
  <si>
    <t>27,54,25,65</t>
  </si>
  <si>
    <t>Fig. 1；PDF第7页／印刷第889页；下面板（Scott）；黑色实心正方形、实线连接；灰色空心三角为Peer，不计入本行；后续Peer Support Plus不并入本行</t>
  </si>
  <si>
    <t>D0558</t>
  </si>
  <si>
    <t>24 Morrison 2002</t>
  </si>
  <si>
    <t>Ned</t>
  </si>
  <si>
    <t>On-Task Behavior（在任务行为）</t>
  </si>
  <si>
    <t>待审核（原图多阶段比较未确定）</t>
  </si>
  <si>
    <t>观察区间百分比（%）</t>
  </si>
  <si>
    <t>Figure 1；PDF第11页／印刷第68页；第1面板（Ned，自上而下）；实心圆＝Training，空心圆＝Generality，实心三角＝training conditions；空心柱为experimenter prompts，不计入儿童结局</t>
  </si>
  <si>
    <t>待审核：研究包含训练、强化及组合干预等多个阶段，主要比较尚未确定，且图与表2的部分阶段均值、范围不一致。</t>
  </si>
  <si>
    <t>D0559</t>
  </si>
  <si>
    <t>Kelly</t>
  </si>
  <si>
    <t>Figure 1；PDF第11页／印刷第68页；第2面板（Kelly，自上而下）；实心圆＝Training，空心圆＝Generality，实心三角＝training conditions；空心柱为experimenter prompts，不计入儿童结局</t>
  </si>
  <si>
    <t>D0560</t>
  </si>
  <si>
    <t>Michael</t>
  </si>
  <si>
    <t>Figure 1；PDF第11页／印刷第68页；第3面板（Michael，自上而下）；实心圆＝Training，空心圆＝Generality，实心三角＝training conditions；空心柱为experimenter prompts，不计入儿童结局</t>
  </si>
  <si>
    <t>D0561</t>
  </si>
  <si>
    <t>Janet</t>
  </si>
  <si>
    <t>Figure 1；PDF第11页／印刷第68页；第4面板（Janet，自上而下）；实心圆＝Training，空心圆＝Generality，实心三角＝training conditions；空心柱为experimenter prompts，不计入儿童结局</t>
  </si>
  <si>
    <t>D0562</t>
  </si>
  <si>
    <t>play correspondence behaviors（游戏选择与实际行为一致性）</t>
  </si>
  <si>
    <t>次数（0–3）</t>
  </si>
  <si>
    <t>Figure 2；PDF第12页／印刷第69页；第1面板（Ned，自上而下）；实心圆＝Training，空心圆＝Generality，实心三角＝training conditions；×为无游戏选择、无对应行为发生机会，不是数值0</t>
  </si>
  <si>
    <t>待审核：多阶段比较尚未确定，无游戏选择的叉号不能视为零值，部分泛化点与主序列重叠，需核实配对及观测点。</t>
  </si>
  <si>
    <t>D0563</t>
  </si>
  <si>
    <t>Figure 2；PDF第12页／印刷第69页；第2面板（Kelly，自上而下）；实心圆＝Training，空心圆＝Generality，实心三角＝training conditions；×为无游戏选择、无对应行为发生机会，不是数值0</t>
  </si>
  <si>
    <t>D0564</t>
  </si>
  <si>
    <t>Figure 2；PDF第12页／印刷第69页；第3面板（Michael，自上而下）；实心圆＝Training，空心圆＝Generality，实心三角＝training conditions；×为无游戏选择、无对应行为发生机会，不是数值0</t>
  </si>
  <si>
    <t>D0565</t>
  </si>
  <si>
    <t>Figure 2；PDF第12页／印刷第69页；第4面板（Janet，自上而下）；实心圆＝Training，空心圆＝Generality，实心三角＝training conditions；×为无游戏选择、无对应行为发生机会，不是数值0</t>
  </si>
  <si>
    <t>D0566</t>
  </si>
  <si>
    <t>25 Owen-DeSchryver 2008</t>
  </si>
  <si>
    <t>Baseline（基线期） vs Postintervention（干预后阶段）</t>
  </si>
  <si>
    <t>0.31,0.43,0.25,0.31</t>
  </si>
  <si>
    <t>0.48,0.4,0.41,0.53,0.25,0.36,0.27</t>
  </si>
  <si>
    <t>Figure 2；PDF第10页／印刷第23页；上面板（John）；黑色实心三角＝Initiations；纵轴为每分钟次数</t>
  </si>
  <si>
    <t>D0567</t>
  </si>
  <si>
    <t>0.05,0.17,0.35,0.14</t>
  </si>
  <si>
    <t>0.4,0.57,0.61,0.59,0.49,0.24,0.62</t>
  </si>
  <si>
    <t>Figure 2；PDF第10页／印刷第23页；上面板（John）；空心正方形＝Responses；纵轴为每分钟次数</t>
  </si>
  <si>
    <t>D0568</t>
  </si>
  <si>
    <t>David</t>
  </si>
  <si>
    <t>0.05,0.05,0.05,0.13,0.05,0.05</t>
  </si>
  <si>
    <t>0.46,0.38,0.76,0.97,0.6,0.34,0.2,0.1,0.1,0.6,0.82</t>
  </si>
  <si>
    <t>Figure 2；PDF第10页／印刷第23页；中面板（David）；黑色实心三角＝Initiations；纵轴为每分钟次数</t>
  </si>
  <si>
    <t>D0569</t>
  </si>
  <si>
    <t>0.05,0.05,0.1,0.09,0.14,0.1</t>
  </si>
  <si>
    <t>0.26,0.44,0.69,0.71,1,1.02,0.87,0.06,0.51,0.64,1</t>
  </si>
  <si>
    <t>Figure 2；PDF第10页／印刷第23页；中面板（David）；空心正方形＝Responses；纵轴为每分钟次数</t>
  </si>
  <si>
    <t>D0570</t>
  </si>
  <si>
    <t>George</t>
  </si>
  <si>
    <t>Baseline（基线期） vs Postintervention: Peer Training Group 1（第一组同伴培训后的阶段）</t>
  </si>
  <si>
    <t>0.05,0.05,0.24,0.19,0.08,0.2,0.07,0.11</t>
  </si>
  <si>
    <t>0.13,0.19,0.05,0.08,0.05</t>
  </si>
  <si>
    <t>Figure 2；PDF第10页／印刷第23页；下面板（George）；黑色实心三角＝Initiations；纵轴为每分钟次数；本行仅对应Peer Training Group 1，Group 2未并入</t>
  </si>
  <si>
    <t>D0571</t>
  </si>
  <si>
    <t>0.05,0.18,0.46,0.45,0.08,0.05,0.05,0.12</t>
  </si>
  <si>
    <t>0.13,0.19,0.1,0.12,0.1</t>
  </si>
  <si>
    <t>Figure 2；PDF第10页／印刷第23页；下面板（George）；空心正方形＝Responses；纵轴为每分钟次数；本行仅对应Peer Training Group 1，Group 2未并入</t>
  </si>
  <si>
    <t>D0572</t>
  </si>
  <si>
    <t>26 Rosenbloom 2016</t>
  </si>
  <si>
    <t>1名学生（9岁）</t>
  </si>
  <si>
    <t>Percentage of On-Task Behavior（在任务行为百分比）</t>
  </si>
  <si>
    <t>Withdrawal（撤除干预期） vs I-Connect（自我监控应用干预）</t>
  </si>
  <si>
    <t>2,33,20,53,54,20</t>
  </si>
  <si>
    <t>97,64,93,97,97,90</t>
  </si>
  <si>
    <t>Figure 2；PDF第28页／印刷第27页；唯一面板；黑色实心圆、实线连接；本行取Withdrawal及其后的第二次I-Connect</t>
  </si>
  <si>
    <t>D0573</t>
  </si>
  <si>
    <t>27 Sansosti 2008</t>
  </si>
  <si>
    <t>Vito</t>
  </si>
  <si>
    <t>joining in（加入同伴游戏或交谈）</t>
  </si>
  <si>
    <t>0,0,12.1,10,0,0,0,0</t>
  </si>
  <si>
    <t>22.4,45.1,49.2,62.1,58.5,27.1,15.2,20.4,0,2.3</t>
  </si>
  <si>
    <t>Figure 1；PDF第10页／印刷第171页；上面板（Vito）；黑色实心正方形＝Target；空心正方形＝Peer，不计入目标儿童序列；结局原词见正文操作性定义</t>
  </si>
  <si>
    <t>D0574</t>
  </si>
  <si>
    <t>90.5,80.1,85.3,80.1</t>
  </si>
  <si>
    <t>D0575</t>
  </si>
  <si>
    <t>Baseline (Generalization)（基线期的泛化测查） vs Intervention (Generalization)（干预期的泛化测查）</t>
  </si>
  <si>
    <t>2.3,5.4,8.5,3.4</t>
  </si>
  <si>
    <t>8.5,10,2.3,2.3,5.4</t>
  </si>
  <si>
    <t>Figure 1；PDF第10页／印刷第171页；上面板（Vito）；空心圆＝Generalization；空心正方形＝Peer，不计入目标儿童序列；结局原词见正文操作性定义</t>
  </si>
  <si>
    <t>D0576</t>
  </si>
  <si>
    <t>Baseline (Generalization)（基线期的泛化测查） vs Intervention + Prompts (Generalization)（干预加提示阶段的泛化测查）</t>
  </si>
  <si>
    <t>15.2,42,56.4,61.1</t>
  </si>
  <si>
    <t>D0577</t>
  </si>
  <si>
    <t>Baseline (Generalization)（基线期的泛化测查） vs Follow-Up (Generalization)（追踪期的泛化测查）</t>
  </si>
  <si>
    <t>68.3,71.4</t>
  </si>
  <si>
    <t>D0578</t>
  </si>
  <si>
    <t>7.5,8,0,12.2,5.5,9.1,0,0,13.2,4.4,0,3.4,2.3</t>
  </si>
  <si>
    <t>25.1,38.1,41.2,22,8,3.4,10.1</t>
  </si>
  <si>
    <t>Figure 1；PDF第10页／印刷第171页；中面板（Michael）；黑色实心正方形＝Target；空心正方形＝Peer，不计入目标儿童序列；结局原词见正文操作性定义</t>
  </si>
  <si>
    <t>D0579</t>
  </si>
  <si>
    <t>50,52.1,38.1,54.1</t>
  </si>
  <si>
    <t>D0580</t>
  </si>
  <si>
    <t>3.4,4.4,2.3,3.4,4.4,5.5,4.4</t>
  </si>
  <si>
    <t>3.4,4.4,5.5</t>
  </si>
  <si>
    <t>Figure 1；PDF第10页／印刷第171页；中面板（Michael）；空心圆＝Generalization；空心正方形＝Peer，不计入目标儿童序列；结局原词见正文操作性定义</t>
  </si>
  <si>
    <t>D0581</t>
  </si>
  <si>
    <t>28.2,15.3,18.4</t>
  </si>
  <si>
    <t>D0582</t>
  </si>
  <si>
    <t>10.1,12.2</t>
  </si>
  <si>
    <t>D0583</t>
  </si>
  <si>
    <t>Santino</t>
  </si>
  <si>
    <t>maintaining conversations（维持交谈）</t>
  </si>
  <si>
    <t>18.2,0,10.4,11.4,0,15.3,5.1,0,9.5,5.1,12.4,5.1,18.2,7,2.2,0,5.1</t>
  </si>
  <si>
    <t>0,18.2,28.4,57,69.2,79.4,78.4,91,80.3</t>
  </si>
  <si>
    <t>Figure 1；PDF第10页／印刷第171页；下面板（Santino）；黑色实心正方形＝Target；空心正方形＝Peer，不计入目标儿童序列；结局原词见正文操作性定义</t>
  </si>
  <si>
    <t>D0584</t>
  </si>
  <si>
    <t>88.1,80.3,78.4,82.3</t>
  </si>
  <si>
    <t>D0585</t>
  </si>
  <si>
    <t>25,18.2,20.1,31.3,19.2,20.1,22.1,36.2</t>
  </si>
  <si>
    <t>25,32.3,18.2,33.2,20.1</t>
  </si>
  <si>
    <t>Figure 1；PDF第10页／印刷第171页；下面板（Santino）；空心圆＝Generalization；空心正方形＝Peer，不计入目标儿童序列；结局原词见正文操作性定义</t>
  </si>
  <si>
    <t>D0586</t>
  </si>
  <si>
    <t>25,22.1</t>
  </si>
  <si>
    <t>D0587</t>
  </si>
  <si>
    <t>张晓敏2026</t>
  </si>
  <si>
    <t>小宇</t>
  </si>
  <si>
    <t>发起次数</t>
  </si>
  <si>
    <t>基线期 vs 干预期</t>
  </si>
  <si>
    <t>1,0,1</t>
  </si>
  <si>
    <t>2,5,7,5,10,3,5,7,10,8,7,14,14,17,15,18</t>
  </si>
  <si>
    <t>图1“3名被试社交发起与回应行为频次变化折线图”；PDF第5页，印刷页61；从上至下第1个被试小宇面板；实心圆（发起次数）；纵轴行为次数，横轴观察次数；基线期与干预期。</t>
  </si>
  <si>
    <t>D0588</t>
  </si>
  <si>
    <t>基线期 vs 维持期</t>
  </si>
  <si>
    <t>9,5,10,14,11</t>
  </si>
  <si>
    <t>图1“3名被试社交发起与回应行为频次变化折线图”；PDF第5页，印刷页61；从上至下第1个被试小宇面板；实心圆（发起次数）；纵轴行为次数，横轴观察次数；右侧维持期。</t>
  </si>
  <si>
    <t>D0589</t>
  </si>
  <si>
    <t>回应次数</t>
  </si>
  <si>
    <t>27,39,34,13,29,49,40,47,39,38,45,57,60,55,73,63</t>
  </si>
  <si>
    <t>图1“3名被试社交发起与回应行为频次变化折线图”；PDF第5页，印刷页61；从上至下第1个被试小宇面板；实心方块（回应次数）；纵轴行为次数，横轴观察次数；基线期与干预期。</t>
  </si>
  <si>
    <t>D0590</t>
  </si>
  <si>
    <t>25,12,18,31,28</t>
  </si>
  <si>
    <t>图1“3名被试社交发起与回应行为频次变化折线图”；PDF第5页，印刷页61；从上至下第1个被试小宇面板；实心方块（回应次数）；纵轴行为次数，横轴观察次数；右侧维持期。</t>
  </si>
  <si>
    <t>D0591</t>
  </si>
  <si>
    <t>小哲</t>
  </si>
  <si>
    <t>1,2,1,0,1</t>
  </si>
  <si>
    <t>6,16,5,16,15,17,16,16,15,9,18,20,14,21,24,25</t>
  </si>
  <si>
    <t>图1“3名被试社交发起与回应行为频次变化折线图”；PDF第5页，印刷页61；从上至下第2个被试小哲面板；实心圆（发起次数）；纵轴行为次数，横轴观察次数；基线期与干预期。</t>
  </si>
  <si>
    <t>D0592</t>
  </si>
  <si>
    <t>25,30,28,31,33</t>
  </si>
  <si>
    <t>图1“3名被试社交发起与回应行为频次变化折线图”；PDF第5页，印刷页61；从上至下第2个被试小哲面板；实心圆（发起次数）；纵轴行为次数，横轴观察次数；右侧维持期。</t>
  </si>
  <si>
    <t>D0593</t>
  </si>
  <si>
    <t>1,2,2,2,1</t>
  </si>
  <si>
    <t>24,43,35,48,30,52,48,61,52,60,62,66,78,70,76,80</t>
  </si>
  <si>
    <t>图1“3名被试社交发起与回应行为频次变化折线图”；PDF第5页，印刷页61；从上至下第2个被试小哲面板；实心方块（回应次数）；纵轴行为次数，横轴观察次数；基线期与干预期。</t>
  </si>
  <si>
    <t>D0594</t>
  </si>
  <si>
    <t>32,42,46,44,46</t>
  </si>
  <si>
    <t>图1“3名被试社交发起与回应行为频次变化折线图”；PDF第5页，印刷页61；从上至下第2个被试小哲面板；实心方块（回应次数）；纵轴行为次数，横轴观察次数；右侧维持期。</t>
  </si>
  <si>
    <t>D0595</t>
  </si>
  <si>
    <t>小翰</t>
  </si>
  <si>
    <t>图1“3名被试社交发起与回应行为频次变化折线图”；PDF第5页，印刷页61；从上至下第3个被试小翰面板；实心圆（发起次数）；纵轴行为次数，横轴观察次数；基线期与干预期。</t>
  </si>
  <si>
    <t>待审核：干预图连续显示16个观察点，正文却称缺席2次，无法确定缺失会话与图示点的对应关系。</t>
  </si>
  <si>
    <t>D0596</t>
  </si>
  <si>
    <t>图1“3名被试社交发起与回应行为频次变化折线图”；PDF第5页，印刷页61；从上至下第3个被试小翰面板；实心圆（发起次数）；纵轴行为次数，横轴观察次数；右侧维持期。</t>
  </si>
  <si>
    <t>待审核：维持阶段五个图示点的均值与正文报告不一致，尚无法定位具体错误点，需核实完整维持序列。</t>
  </si>
  <si>
    <t>D0597</t>
  </si>
  <si>
    <t>图1“3名被试社交发起与回应行为频次变化折线图”；PDF第5页，印刷页61；从上至下第3个被试小翰面板；实心方块（回应次数）；纵轴行为次数，横轴观察次数；基线期与干预期。</t>
  </si>
  <si>
    <t>D0598</t>
  </si>
  <si>
    <t>图1“3名被试社交发起与回应行为频次变化折线图”；PDF第5页，印刷页61；从上至下第3个被试小翰面板；实心方块（回应次数）；纵轴行为次数，横轴观察次数；右侧维持期。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</si>
</sst>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7">
    <font>
      <sz val="11"/>
      <name val="Carlito"/>
    </font>
    <font>
      <sz val="10"/>
      <color rgb="FF242F38"/>
      <name val="宋体"/>
      <family val="3"/>
      <charset val="134"/>
    </font>
    <font>
      <b/>
      <sz val="10"/>
      <color rgb="FF18354B"/>
      <name val="宋体"/>
      <family val="3"/>
      <charset val="134"/>
    </font>
    <font>
      <sz val="10"/>
      <color rgb="FF153E58"/>
      <name val="Arial"/>
      <family val="2"/>
    </font>
    <font>
      <sz val="10"/>
      <color rgb="FF153E58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CE6F3"/>
      </patternFill>
    </fill>
    <fill>
      <patternFill patternType="solid">
        <fgColor rgb="FFF5F8FC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8C9D8"/>
      </left>
      <right style="thin">
        <color rgb="FFB8C9D8"/>
      </right>
      <top/>
      <bottom/>
      <diagonal/>
    </border>
    <border>
      <left style="thin">
        <color rgb="FFB8C9D8"/>
      </left>
      <right style="thin">
        <color rgb="FFB8C9D8"/>
      </right>
      <top style="thin">
        <color rgb="FFB8C9D8"/>
      </top>
      <bottom/>
      <diagonal/>
    </border>
  </borders>
  <cellStyleXfs count="2">
    <xf numFmtId="0" fontId="0" fillId="0" borderId="0"/>
    <xf numFmtId="0" fontId="5" fillId="0" borderId="0"/>
  </cellStyleXfs>
  <cellXfs count="36">
    <xf numFmtId="0" fontId="0" fillId="0" borderId="0" xfId="0"/>
    <xf numFmtId="0" fontId="2" fillId="2" borderId="1" xfId="1" applyFont="1" applyFill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1" fillId="3" borderId="2" xfId="1" applyFont="1" applyFill="1" applyBorder="1" applyAlignment="1">
      <alignment vertical="center" wrapText="1"/>
    </xf>
    <xf numFmtId="1" fontId="3" fillId="3" borderId="2" xfId="1" applyNumberFormat="1" applyFont="1" applyFill="1" applyBorder="1" applyAlignment="1">
      <alignment horizontal="center" vertical="center" wrapText="1"/>
    </xf>
    <xf numFmtId="176" fontId="1" fillId="3" borderId="2" xfId="1" applyNumberFormat="1" applyFont="1" applyFill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vertical="center" wrapText="1"/>
    </xf>
    <xf numFmtId="0" fontId="1" fillId="3" borderId="1" xfId="1" applyFont="1" applyFill="1" applyBorder="1" applyAlignment="1">
      <alignment vertical="center" wrapText="1"/>
    </xf>
    <xf numFmtId="1" fontId="3" fillId="3" borderId="1" xfId="1" applyNumberFormat="1" applyFont="1" applyFill="1" applyBorder="1" applyAlignment="1">
      <alignment horizontal="center" vertical="center" wrapText="1"/>
    </xf>
    <xf numFmtId="176" fontId="1" fillId="3" borderId="1" xfId="1" applyNumberFormat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1" fillId="0" borderId="2" xfId="1" applyFont="1" applyBorder="1" applyAlignment="1">
      <alignment vertical="center" wrapText="1"/>
    </xf>
    <xf numFmtId="1" fontId="3" fillId="0" borderId="2" xfId="1" applyNumberFormat="1" applyFont="1" applyBorder="1" applyAlignment="1">
      <alignment horizontal="center" vertical="center" wrapText="1"/>
    </xf>
    <xf numFmtId="176" fontId="1" fillId="4" borderId="2" xfId="1" applyNumberFormat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76" fontId="1" fillId="4" borderId="1" xfId="1" applyNumberFormat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vertical="center" wrapText="1"/>
    </xf>
    <xf numFmtId="1" fontId="3" fillId="4" borderId="1" xfId="1" applyNumberFormat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vertical="center" wrapText="1"/>
    </xf>
    <xf numFmtId="176" fontId="1" fillId="0" borderId="2" xfId="1" applyNumberFormat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176" fontId="1" fillId="0" borderId="1" xfId="1" applyNumberFormat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3" borderId="2" xfId="1" applyFont="1" applyFill="1" applyBorder="1" applyAlignment="1">
      <alignment vertical="center" wrapText="1"/>
    </xf>
    <xf numFmtId="0" fontId="4" fillId="3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1" fontId="3" fillId="4" borderId="2" xfId="1" applyNumberFormat="1" applyFont="1" applyFill="1" applyBorder="1" applyAlignment="1">
      <alignment horizontal="center" vertical="center" wrapText="1"/>
    </xf>
    <xf numFmtId="0" fontId="1" fillId="4" borderId="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1943100</xdr:colOff>
      <xdr:row>9</xdr:row>
      <xdr:rowOff>419100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3EE4AFE2-F4F3-B315-F0ED-E913FC649BB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PT" id="{5D1798DC-385F-48D0-9AF2-03E807FD49D8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pComparison" displayName="PrepComparison" ref="A1:S599" totalsRowShown="0">
  <autoFilter ref="A1:S599" xr:uid="{00000000-0009-0000-0100-000001000000}"/>
  <tableColumns count="19">
    <tableColumn id="1" xr3:uid="{00000000-0010-0000-0000-000001000000}" name="记录编号"/>
    <tableColumn id="2" xr3:uid="{00000000-0010-0000-0000-000002000000}" name="文献编号"/>
    <tableColumn id="3" xr3:uid="{00000000-0010-0000-0000-000003000000}" name="儿童"/>
    <tableColumn id="4" xr3:uid="{00000000-0010-0000-0000-000004000000}" name="因变量"/>
    <tableColumn id="5" xr3:uid="{00000000-0010-0000-0000-000005000000}" name="比较类型"/>
    <tableColumn id="6" xr3:uid="{00000000-0010-0000-0000-000006000000}" name="比较的两段"/>
    <tableColumn id="7" xr3:uid="{00000000-0010-0000-0000-000007000000}" name="前段数值（按观察顺序）"/>
    <tableColumn id="8" xr3:uid="{00000000-0010-0000-0000-000008000000}" name="前段点数"/>
    <tableColumn id="9" xr3:uid="{00000000-0010-0000-0000-000009000000}" name="后段数值（按观察顺序）"/>
    <tableColumn id="10" xr3:uid="{00000000-0010-0000-0000-00000A000000}" name="后段点数"/>
    <tableColumn id="11" xr3:uid="{00000000-0010-0000-0000-00000B000000}" name="单位"/>
    <tableColumn id="12" xr3:uid="{00000000-0010-0000-0000-00000C000000}" name="改善方向"/>
    <tableColumn id="13" xr3:uid="{00000000-0010-0000-0000-00000D000000}" name="基线趋势τ"/>
    <tableColumn id="14" xr3:uid="{00000000-0010-0000-0000-00000E000000}" name="基线趋势p"/>
    <tableColumn id="15" xr3:uid="{00000000-0010-0000-0000-00000F000000}" name="是否校正"/>
    <tableColumn id="16" xr3:uid="{00000000-0010-0000-0000-000010000000}" name="图位置（图号／PDF页／面板／符号）"/>
    <tableColumn id="17" xr3:uid="{00000000-0010-0000-0000-000011000000}" name="提取者"/>
    <tableColumn id="18" xr3:uid="{00000000-0010-0000-0000-000012000000}" name="审核状态"/>
    <tableColumn id="19" xr3:uid="{00000000-0010-0000-0000-000013000000}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10-26T18:58:06.83" personId="{5D1798DC-385F-48D0-9AF2-03E807FD49D8}" id="{6CD4CF59-99E5-494C-A2AC-CCB378358BA0}">
    <text>完整版，46篇文献、598条前后段记录。此表仅用于Tau-U计算前准备，不计算A–B的Tau-U效应量；仅基线趋势τ、p与是否校正按用户授权计算。D编号仅用于定位，不代表独立效应数量。原数据来源：tau_data/Tau-U效应量.xlsx；参考排版：393K_Tau-U数据.xlsx。</text>
  </threadedComment>
  <threadedComment ref="M1" dT="2026-10-26T18:58:06.83" personId="{5D1798DC-385F-48D0-9AF2-03E807FD49D8}" id="{EA19E5E6-935B-48DA-A96C-5D0C50A3D7C2}">
    <text>由GPT计算，2026-10-27。基线趋势为按观察次序计算的Kendall tau-b，保留原数值方向，结值修正的双侧渐近p，不作连续性校正。基线恒定、单点或非基线/混合阶段不填τ与p；τ、p来自当前提取值的外部统计计算；如修改原始序列，应重新计算。方法参考：https://docs.scipy.org/doc/scipy/reference/generated/scipy.stats.kendalltau.html 。</text>
  </threadedComment>
  <threadedComment ref="O1" dT="2026-10-26T18:58:06.83" personId="{5D1798DC-385F-48D0-9AF2-03E807FD49D8}" id="{2B7AD2E5-5F8D-484A-8277-C5869796846B}">
    <text>按所提供393K参考表的公式：p&lt;0.05，且升高改善时τ&gt;0／降低改善时τ&lt;0，标校正；否则不校正。此处仅为后续是否校正的判断，未计算Tau-U。待审核行留空。基线恒定时τ-b和p无定义，统计留空且不校正；只有1点时无法判断；非基线前段或混合阶段不作基线趋势检验。</text>
  </threadedComment>
  <threadedComment ref="R1" dT="2026-10-26T18:58:06.83" personId="{5D1798DC-385F-48D0-9AF2-03E807FD49D8}" id="{5FBCB2E8-A471-4492-A49B-9DAB7BEC1261}">
    <text>已提取表示原数据已有读值，不等于人工审核通过。Claude原样保留表示原5篇样例数值沿用Claude，GPT核对原文名称和图位并计算基线趋势。整行审核状态为待审核时，前段数值、前段点数、后段数值、后段点数全部留空；问题原因写在备注中。Claude原记录含估读时注明待审核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354B"/>
  </sheetPr>
  <dimension ref="A1:S599"/>
  <sheetViews>
    <sheetView showGridLines="0" tabSelected="1" workbookViewId="0">
      <pane xSplit="5" ySplit="1" topLeftCell="Q590" activePane="bottomRight" state="frozen"/>
      <selection pane="topRight"/>
      <selection pane="bottomLeft"/>
      <selection pane="bottomRight" activeCell="T596" sqref="T596"/>
    </sheetView>
  </sheetViews>
  <sheetFormatPr defaultRowHeight="13.5"/>
  <cols>
    <col min="1" max="1" width="9" customWidth="1"/>
    <col min="2" max="3" width="14" customWidth="1"/>
    <col min="4" max="4" width="46" customWidth="1"/>
    <col min="5" max="5" width="11.625" customWidth="1"/>
    <col min="6" max="6" width="52.6875" customWidth="1"/>
    <col min="7" max="7" width="34" customWidth="1"/>
    <col min="8" max="8" width="12" customWidth="1"/>
    <col min="9" max="9" width="34" customWidth="1"/>
    <col min="10" max="10" width="12" customWidth="1"/>
    <col min="11" max="11" width="10" customWidth="1"/>
    <col min="12" max="15" width="11" customWidth="1"/>
    <col min="16" max="16" width="53" customWidth="1"/>
    <col min="17" max="17" width="10" customWidth="1"/>
    <col min="18" max="18" width="18" customWidth="1"/>
    <col min="19" max="19" width="40" customWidth="1"/>
  </cols>
  <sheetData>
    <row r="1" spans="1:1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6" customHeight="1">
      <c r="A2" s="2" t="s">
        <v>19</v>
      </c>
      <c r="B2" s="2" t="s">
        <v>20</v>
      </c>
      <c r="C2" s="2" t="s">
        <v>21</v>
      </c>
      <c r="D2" s="2" t="s">
        <v>22</v>
      </c>
      <c r="E2" s="3" t="s">
        <v>23</v>
      </c>
      <c r="F2" s="2" t="s">
        <v>24</v>
      </c>
      <c r="G2" s="2" t="s">
        <v>25</v>
      </c>
      <c r="H2" s="4">
        <f t="shared" ref="H2:H13" si="0">IF(LEN(G2)=0,"",IF(ISNUMBER(SEARCH(",",G2)),LEN(SUBSTITUTE(G2,",","xx"))-LEN(G2)+1,1))</f>
        <v>5</v>
      </c>
      <c r="I2" s="2" t="s">
        <v>26</v>
      </c>
      <c r="J2" s="4">
        <f t="shared" ref="J2:J13" si="1">IF(LEN(I2)=0,"",IF(ISNUMBER(SEARCH(",",I2)),LEN(SUBSTITUTE(I2,",","xx"))-LEN(I2)+1,1))</f>
        <v>26</v>
      </c>
      <c r="K2" s="3" t="s">
        <v>27</v>
      </c>
      <c r="L2" s="3" t="s">
        <v>28</v>
      </c>
      <c r="M2" s="5">
        <v>0.63245553203367588</v>
      </c>
      <c r="N2" s="5">
        <v>0.15729920705028511</v>
      </c>
      <c r="O2" s="6" t="str">
        <f t="shared" ref="O2:O7" si="2">IF(AND(N2&lt;0.05,OR(AND(L2="升高改善",M2&gt;0),AND(L2="降低改善",M2&lt;0))),"校正","不校正")</f>
        <v>不校正</v>
      </c>
      <c r="P2" s="3" t="s">
        <v>29</v>
      </c>
      <c r="Q2" s="3" t="s">
        <v>30</v>
      </c>
      <c r="R2" s="3" t="s">
        <v>31</v>
      </c>
      <c r="S2" s="3" t="s">
        <v>32</v>
      </c>
    </row>
    <row r="3" spans="1:19" ht="36" customHeight="1">
      <c r="A3" s="7" t="s">
        <v>33</v>
      </c>
      <c r="B3" s="7" t="s">
        <v>20</v>
      </c>
      <c r="C3" s="7" t="s">
        <v>21</v>
      </c>
      <c r="D3" s="7" t="s">
        <v>22</v>
      </c>
      <c r="E3" s="8" t="s">
        <v>34</v>
      </c>
      <c r="F3" s="7" t="s">
        <v>35</v>
      </c>
      <c r="G3" s="7" t="s">
        <v>36</v>
      </c>
      <c r="H3" s="9">
        <f t="shared" si="0"/>
        <v>2</v>
      </c>
      <c r="I3" s="7" t="s">
        <v>37</v>
      </c>
      <c r="J3" s="9">
        <f t="shared" si="1"/>
        <v>4</v>
      </c>
      <c r="K3" s="8" t="s">
        <v>27</v>
      </c>
      <c r="L3" s="8" t="s">
        <v>28</v>
      </c>
      <c r="M3" s="10">
        <v>1</v>
      </c>
      <c r="N3" s="10">
        <v>0.31731050786291415</v>
      </c>
      <c r="O3" s="11" t="str">
        <f t="shared" si="2"/>
        <v>不校正</v>
      </c>
      <c r="P3" s="8" t="s">
        <v>38</v>
      </c>
      <c r="Q3" s="8" t="s">
        <v>30</v>
      </c>
      <c r="R3" s="8" t="s">
        <v>31</v>
      </c>
      <c r="S3" s="8" t="s">
        <v>32</v>
      </c>
    </row>
    <row r="4" spans="1:19" ht="36" customHeight="1">
      <c r="A4" s="7" t="s">
        <v>39</v>
      </c>
      <c r="B4" s="7" t="s">
        <v>20</v>
      </c>
      <c r="C4" s="7" t="s">
        <v>40</v>
      </c>
      <c r="D4" s="7" t="s">
        <v>22</v>
      </c>
      <c r="E4" s="8" t="s">
        <v>23</v>
      </c>
      <c r="F4" s="7" t="s">
        <v>24</v>
      </c>
      <c r="G4" s="7" t="s">
        <v>41</v>
      </c>
      <c r="H4" s="9">
        <f t="shared" si="0"/>
        <v>22</v>
      </c>
      <c r="I4" s="7" t="s">
        <v>42</v>
      </c>
      <c r="J4" s="9">
        <f t="shared" si="1"/>
        <v>10</v>
      </c>
      <c r="K4" s="8" t="s">
        <v>27</v>
      </c>
      <c r="L4" s="8" t="s">
        <v>28</v>
      </c>
      <c r="M4" s="10">
        <v>-4.4664671391480169E-3</v>
      </c>
      <c r="N4" s="10">
        <v>0.97731108493774599</v>
      </c>
      <c r="O4" s="11" t="str">
        <f t="shared" si="2"/>
        <v>不校正</v>
      </c>
      <c r="P4" s="8" t="s">
        <v>43</v>
      </c>
      <c r="Q4" s="8" t="s">
        <v>30</v>
      </c>
      <c r="R4" s="8" t="s">
        <v>31</v>
      </c>
      <c r="S4" s="8" t="s">
        <v>32</v>
      </c>
    </row>
    <row r="5" spans="1:19" ht="36" customHeight="1">
      <c r="A5" s="7" t="s">
        <v>44</v>
      </c>
      <c r="B5" s="7" t="s">
        <v>20</v>
      </c>
      <c r="C5" s="7" t="s">
        <v>40</v>
      </c>
      <c r="D5" s="7" t="s">
        <v>22</v>
      </c>
      <c r="E5" s="8" t="s">
        <v>34</v>
      </c>
      <c r="F5" s="7" t="s">
        <v>35</v>
      </c>
      <c r="G5" s="7" t="s">
        <v>45</v>
      </c>
      <c r="H5" s="9">
        <f t="shared" si="0"/>
        <v>4</v>
      </c>
      <c r="I5" s="7" t="s">
        <v>46</v>
      </c>
      <c r="J5" s="9">
        <f t="shared" si="1"/>
        <v>3</v>
      </c>
      <c r="K5" s="8" t="s">
        <v>27</v>
      </c>
      <c r="L5" s="8" t="s">
        <v>28</v>
      </c>
      <c r="M5" s="10">
        <v>0</v>
      </c>
      <c r="N5" s="10">
        <v>1</v>
      </c>
      <c r="O5" s="11" t="str">
        <f t="shared" si="2"/>
        <v>不校正</v>
      </c>
      <c r="P5" s="8" t="s">
        <v>47</v>
      </c>
      <c r="Q5" s="8" t="s">
        <v>30</v>
      </c>
      <c r="R5" s="8" t="s">
        <v>31</v>
      </c>
      <c r="S5" s="8" t="s">
        <v>32</v>
      </c>
    </row>
    <row r="6" spans="1:19" ht="36" customHeight="1">
      <c r="A6" s="7" t="s">
        <v>48</v>
      </c>
      <c r="B6" s="7" t="s">
        <v>20</v>
      </c>
      <c r="C6" s="7" t="s">
        <v>49</v>
      </c>
      <c r="D6" s="7" t="s">
        <v>22</v>
      </c>
      <c r="E6" s="8" t="s">
        <v>23</v>
      </c>
      <c r="F6" s="7" t="s">
        <v>24</v>
      </c>
      <c r="G6" s="7" t="s">
        <v>50</v>
      </c>
      <c r="H6" s="9">
        <f t="shared" si="0"/>
        <v>22</v>
      </c>
      <c r="I6" s="7" t="s">
        <v>51</v>
      </c>
      <c r="J6" s="9">
        <f t="shared" si="1"/>
        <v>5</v>
      </c>
      <c r="K6" s="8" t="s">
        <v>27</v>
      </c>
      <c r="L6" s="8" t="s">
        <v>28</v>
      </c>
      <c r="M6" s="10">
        <v>-2.2029852170626977E-2</v>
      </c>
      <c r="N6" s="10">
        <v>0.88749237126690039</v>
      </c>
      <c r="O6" s="11" t="str">
        <f t="shared" si="2"/>
        <v>不校正</v>
      </c>
      <c r="P6" s="8" t="s">
        <v>52</v>
      </c>
      <c r="Q6" s="8" t="s">
        <v>30</v>
      </c>
      <c r="R6" s="8" t="s">
        <v>31</v>
      </c>
      <c r="S6" s="8" t="s">
        <v>32</v>
      </c>
    </row>
    <row r="7" spans="1:19" ht="36" customHeight="1">
      <c r="A7" s="7" t="s">
        <v>53</v>
      </c>
      <c r="B7" s="7" t="s">
        <v>20</v>
      </c>
      <c r="C7" s="7" t="s">
        <v>49</v>
      </c>
      <c r="D7" s="7" t="s">
        <v>22</v>
      </c>
      <c r="E7" s="8" t="s">
        <v>34</v>
      </c>
      <c r="F7" s="7" t="s">
        <v>35</v>
      </c>
      <c r="G7" s="7" t="s">
        <v>54</v>
      </c>
      <c r="H7" s="9">
        <f t="shared" si="0"/>
        <v>4</v>
      </c>
      <c r="I7" s="7" t="s">
        <v>55</v>
      </c>
      <c r="J7" s="9">
        <f t="shared" si="1"/>
        <v>2</v>
      </c>
      <c r="K7" s="8" t="s">
        <v>27</v>
      </c>
      <c r="L7" s="8" t="s">
        <v>28</v>
      </c>
      <c r="M7" s="10">
        <v>0.9128709291752769</v>
      </c>
      <c r="N7" s="10">
        <v>7.0951492427305626E-2</v>
      </c>
      <c r="O7" s="11" t="str">
        <f t="shared" si="2"/>
        <v>不校正</v>
      </c>
      <c r="P7" s="8" t="s">
        <v>56</v>
      </c>
      <c r="Q7" s="8" t="s">
        <v>30</v>
      </c>
      <c r="R7" s="8" t="s">
        <v>31</v>
      </c>
      <c r="S7" s="8" t="s">
        <v>32</v>
      </c>
    </row>
    <row r="8" spans="1:19" ht="48" customHeight="1">
      <c r="A8" s="12" t="s">
        <v>57</v>
      </c>
      <c r="B8" s="12" t="s">
        <v>58</v>
      </c>
      <c r="C8" s="12" t="s">
        <v>59</v>
      </c>
      <c r="D8" s="12" t="s">
        <v>60</v>
      </c>
      <c r="E8" s="13" t="s">
        <v>23</v>
      </c>
      <c r="F8" s="12" t="s">
        <v>61</v>
      </c>
      <c r="G8" s="12" t="s">
        <v>62</v>
      </c>
      <c r="H8" s="14">
        <f t="shared" si="0"/>
        <v>12</v>
      </c>
      <c r="I8" s="12" t="s">
        <v>63</v>
      </c>
      <c r="J8" s="14">
        <f t="shared" si="1"/>
        <v>5</v>
      </c>
      <c r="K8" s="13" t="s">
        <v>64</v>
      </c>
      <c r="L8" s="13" t="s">
        <v>28</v>
      </c>
      <c r="M8" s="15"/>
      <c r="N8" s="15"/>
      <c r="O8" s="16" t="s">
        <v>65</v>
      </c>
      <c r="P8" s="13" t="s">
        <v>66</v>
      </c>
      <c r="Q8" s="13" t="s">
        <v>30</v>
      </c>
      <c r="R8" s="13" t="s">
        <v>31</v>
      </c>
      <c r="S8" s="13" t="s">
        <v>67</v>
      </c>
    </row>
    <row r="9" spans="1:19" ht="48" customHeight="1">
      <c r="A9" s="17" t="s">
        <v>68</v>
      </c>
      <c r="B9" s="17" t="s">
        <v>58</v>
      </c>
      <c r="C9" s="17" t="s">
        <v>59</v>
      </c>
      <c r="D9" s="17" t="s">
        <v>60</v>
      </c>
      <c r="E9" s="18" t="s">
        <v>23</v>
      </c>
      <c r="F9" s="17" t="s">
        <v>69</v>
      </c>
      <c r="G9" s="17" t="s">
        <v>62</v>
      </c>
      <c r="H9" s="19">
        <f t="shared" si="0"/>
        <v>12</v>
      </c>
      <c r="I9" s="17" t="s">
        <v>70</v>
      </c>
      <c r="J9" s="19">
        <f t="shared" si="1"/>
        <v>6</v>
      </c>
      <c r="K9" s="18" t="s">
        <v>64</v>
      </c>
      <c r="L9" s="18" t="s">
        <v>28</v>
      </c>
      <c r="M9" s="20"/>
      <c r="N9" s="20"/>
      <c r="O9" s="21" t="s">
        <v>65</v>
      </c>
      <c r="P9" s="18" t="s">
        <v>71</v>
      </c>
      <c r="Q9" s="18" t="s">
        <v>30</v>
      </c>
      <c r="R9" s="18" t="s">
        <v>31</v>
      </c>
      <c r="S9" s="18" t="s">
        <v>67</v>
      </c>
    </row>
    <row r="10" spans="1:19" ht="36" customHeight="1">
      <c r="A10" s="2" t="s">
        <v>72</v>
      </c>
      <c r="B10" s="2" t="s">
        <v>73</v>
      </c>
      <c r="C10" s="2" t="s">
        <v>74</v>
      </c>
      <c r="D10" s="2" t="s">
        <v>75</v>
      </c>
      <c r="E10" s="3" t="s">
        <v>23</v>
      </c>
      <c r="F10" s="2" t="s">
        <v>76</v>
      </c>
      <c r="G10" s="2" t="s">
        <v>77</v>
      </c>
      <c r="H10" s="4">
        <f t="shared" si="0"/>
        <v>4</v>
      </c>
      <c r="I10" s="2" t="s">
        <v>78</v>
      </c>
      <c r="J10" s="4">
        <f t="shared" si="1"/>
        <v>16</v>
      </c>
      <c r="K10" s="3" t="s">
        <v>64</v>
      </c>
      <c r="L10" s="3" t="s">
        <v>28</v>
      </c>
      <c r="M10" s="5">
        <v>0.66666666666666663</v>
      </c>
      <c r="N10" s="5">
        <v>0.17423138824802506</v>
      </c>
      <c r="O10" s="6" t="str">
        <f>IF(AND(N10&lt;0.05,OR(AND(L10="升高改善",M10&gt;0),AND(L10="降低改善",M10&lt;0))),"校正","不校正")</f>
        <v>不校正</v>
      </c>
      <c r="P10" s="3" t="s">
        <v>79</v>
      </c>
      <c r="Q10" s="3" t="s">
        <v>30</v>
      </c>
      <c r="R10" s="3" t="s">
        <v>31</v>
      </c>
      <c r="S10" s="3" t="s">
        <v>32</v>
      </c>
    </row>
    <row r="11" spans="1:19" ht="36" customHeight="1">
      <c r="A11" s="7" t="s">
        <v>80</v>
      </c>
      <c r="B11" s="7" t="s">
        <v>73</v>
      </c>
      <c r="C11" s="7" t="s">
        <v>74</v>
      </c>
      <c r="D11" s="7" t="s">
        <v>75</v>
      </c>
      <c r="E11" s="8" t="s">
        <v>81</v>
      </c>
      <c r="F11" s="7" t="s">
        <v>82</v>
      </c>
      <c r="G11" s="7" t="s">
        <v>77</v>
      </c>
      <c r="H11" s="9">
        <f t="shared" si="0"/>
        <v>4</v>
      </c>
      <c r="I11" s="7" t="s">
        <v>83</v>
      </c>
      <c r="J11" s="9">
        <f t="shared" si="1"/>
        <v>3</v>
      </c>
      <c r="K11" s="8" t="s">
        <v>64</v>
      </c>
      <c r="L11" s="8" t="s">
        <v>28</v>
      </c>
      <c r="M11" s="10">
        <v>0.66666666666666663</v>
      </c>
      <c r="N11" s="10">
        <v>0.17423138824802506</v>
      </c>
      <c r="O11" s="11" t="str">
        <f>IF(AND(N11&lt;0.05,OR(AND(L11="升高改善",M11&gt;0),AND(L11="降低改善",M11&lt;0))),"校正","不校正")</f>
        <v>不校正</v>
      </c>
      <c r="P11" s="8" t="s">
        <v>79</v>
      </c>
      <c r="Q11" s="8" t="s">
        <v>30</v>
      </c>
      <c r="R11" s="8" t="s">
        <v>31</v>
      </c>
      <c r="S11" s="8" t="s">
        <v>32</v>
      </c>
    </row>
    <row r="12" spans="1:19" ht="36" customHeight="1">
      <c r="A12" s="7" t="s">
        <v>84</v>
      </c>
      <c r="B12" s="7" t="s">
        <v>73</v>
      </c>
      <c r="C12" s="7" t="s">
        <v>85</v>
      </c>
      <c r="D12" s="7" t="s">
        <v>75</v>
      </c>
      <c r="E12" s="8" t="s">
        <v>23</v>
      </c>
      <c r="F12" s="7" t="s">
        <v>76</v>
      </c>
      <c r="G12" s="7" t="s">
        <v>86</v>
      </c>
      <c r="H12" s="9">
        <f t="shared" si="0"/>
        <v>7</v>
      </c>
      <c r="I12" s="7" t="s">
        <v>87</v>
      </c>
      <c r="J12" s="9">
        <f t="shared" si="1"/>
        <v>16</v>
      </c>
      <c r="K12" s="8" t="s">
        <v>64</v>
      </c>
      <c r="L12" s="8" t="s">
        <v>28</v>
      </c>
      <c r="M12" s="10">
        <v>-9.7590007294853329E-2</v>
      </c>
      <c r="N12" s="10">
        <v>0.76126364963641957</v>
      </c>
      <c r="O12" s="11" t="str">
        <f>IF(AND(N12&lt;0.05,OR(AND(L12="升高改善",M12&gt;0),AND(L12="降低改善",M12&lt;0))),"校正","不校正")</f>
        <v>不校正</v>
      </c>
      <c r="P12" s="8" t="s">
        <v>88</v>
      </c>
      <c r="Q12" s="8" t="s">
        <v>30</v>
      </c>
      <c r="R12" s="8" t="s">
        <v>31</v>
      </c>
      <c r="S12" s="8" t="s">
        <v>32</v>
      </c>
    </row>
    <row r="13" spans="1:19" ht="36" customHeight="1">
      <c r="A13" s="7" t="s">
        <v>89</v>
      </c>
      <c r="B13" s="7" t="s">
        <v>73</v>
      </c>
      <c r="C13" s="7" t="s">
        <v>85</v>
      </c>
      <c r="D13" s="7" t="s">
        <v>75</v>
      </c>
      <c r="E13" s="8" t="s">
        <v>81</v>
      </c>
      <c r="F13" s="7" t="s">
        <v>82</v>
      </c>
      <c r="G13" s="7" t="s">
        <v>86</v>
      </c>
      <c r="H13" s="9">
        <f t="shared" si="0"/>
        <v>7</v>
      </c>
      <c r="I13" s="7" t="s">
        <v>90</v>
      </c>
      <c r="J13" s="9">
        <f t="shared" si="1"/>
        <v>3</v>
      </c>
      <c r="K13" s="8" t="s">
        <v>64</v>
      </c>
      <c r="L13" s="8" t="s">
        <v>28</v>
      </c>
      <c r="M13" s="10">
        <v>-9.7590007294853329E-2</v>
      </c>
      <c r="N13" s="10">
        <v>0.76126364963641957</v>
      </c>
      <c r="O13" s="11" t="str">
        <f>IF(AND(N13&lt;0.05,OR(AND(L13="升高改善",M13&gt;0),AND(L13="降低改善",M13&lt;0))),"校正","不校正")</f>
        <v>不校正</v>
      </c>
      <c r="P13" s="8" t="s">
        <v>88</v>
      </c>
      <c r="Q13" s="8" t="s">
        <v>30</v>
      </c>
      <c r="R13" s="8" t="s">
        <v>31</v>
      </c>
      <c r="S13" s="8" t="s">
        <v>32</v>
      </c>
    </row>
    <row r="14" spans="1:19" ht="36" customHeight="1">
      <c r="A14" s="7" t="s">
        <v>91</v>
      </c>
      <c r="B14" s="7" t="s">
        <v>73</v>
      </c>
      <c r="C14" s="7" t="s">
        <v>92</v>
      </c>
      <c r="D14" s="7" t="s">
        <v>75</v>
      </c>
      <c r="E14" s="8" t="s">
        <v>23</v>
      </c>
      <c r="F14" s="7" t="s">
        <v>76</v>
      </c>
      <c r="G14" s="22"/>
      <c r="H14" s="23"/>
      <c r="I14" s="22"/>
      <c r="J14" s="23"/>
      <c r="K14" s="8" t="s">
        <v>64</v>
      </c>
      <c r="L14" s="8" t="s">
        <v>28</v>
      </c>
      <c r="M14" s="20"/>
      <c r="N14" s="20"/>
      <c r="O14" s="21"/>
      <c r="P14" s="8" t="s">
        <v>93</v>
      </c>
      <c r="Q14" s="8" t="s">
        <v>30</v>
      </c>
      <c r="R14" s="24" t="s">
        <v>94</v>
      </c>
      <c r="S14" s="8" t="s">
        <v>95</v>
      </c>
    </row>
    <row r="15" spans="1:19" ht="36" customHeight="1">
      <c r="A15" s="7" t="s">
        <v>96</v>
      </c>
      <c r="B15" s="7" t="s">
        <v>73</v>
      </c>
      <c r="C15" s="7" t="s">
        <v>92</v>
      </c>
      <c r="D15" s="7" t="s">
        <v>75</v>
      </c>
      <c r="E15" s="8" t="s">
        <v>81</v>
      </c>
      <c r="F15" s="7" t="s">
        <v>82</v>
      </c>
      <c r="G15" s="7" t="s">
        <v>97</v>
      </c>
      <c r="H15" s="9">
        <f>IF(LEN(G15)=0,"",IF(ISNUMBER(SEARCH(",",G15)),LEN(SUBSTITUTE(G15,",","xx"))-LEN(G15)+1,1))</f>
        <v>10</v>
      </c>
      <c r="I15" s="7" t="s">
        <v>98</v>
      </c>
      <c r="J15" s="9">
        <f>IF(LEN(I15)=0,"",IF(ISNUMBER(SEARCH(",",I15)),LEN(SUBSTITUTE(I15,",","xx"))-LEN(I15)+1,1))</f>
        <v>3</v>
      </c>
      <c r="K15" s="8" t="s">
        <v>64</v>
      </c>
      <c r="L15" s="8" t="s">
        <v>28</v>
      </c>
      <c r="M15" s="10">
        <v>-0.40451991747794525</v>
      </c>
      <c r="N15" s="10">
        <v>0.10599754842494576</v>
      </c>
      <c r="O15" s="11" t="str">
        <f>IF(AND(N15&lt;0.05,OR(AND(L15="升高改善",M15&gt;0),AND(L15="降低改善",M15&lt;0))),"校正","不校正")</f>
        <v>不校正</v>
      </c>
      <c r="P15" s="8" t="s">
        <v>93</v>
      </c>
      <c r="Q15" s="8" t="s">
        <v>30</v>
      </c>
      <c r="R15" s="8" t="s">
        <v>31</v>
      </c>
      <c r="S15" s="8" t="s">
        <v>32</v>
      </c>
    </row>
    <row r="16" spans="1:19" ht="36" customHeight="1">
      <c r="A16" s="7" t="s">
        <v>99</v>
      </c>
      <c r="B16" s="7" t="s">
        <v>73</v>
      </c>
      <c r="C16" s="7" t="s">
        <v>74</v>
      </c>
      <c r="D16" s="7" t="s">
        <v>100</v>
      </c>
      <c r="E16" s="8" t="s">
        <v>23</v>
      </c>
      <c r="F16" s="7" t="s">
        <v>76</v>
      </c>
      <c r="G16" s="22"/>
      <c r="H16" s="23"/>
      <c r="I16" s="22"/>
      <c r="J16" s="23"/>
      <c r="K16" s="8" t="s">
        <v>64</v>
      </c>
      <c r="L16" s="8" t="s">
        <v>101</v>
      </c>
      <c r="M16" s="20"/>
      <c r="N16" s="20"/>
      <c r="O16" s="21"/>
      <c r="P16" s="8" t="s">
        <v>102</v>
      </c>
      <c r="Q16" s="8" t="s">
        <v>30</v>
      </c>
      <c r="R16" s="24" t="s">
        <v>94</v>
      </c>
      <c r="S16" s="8" t="s">
        <v>95</v>
      </c>
    </row>
    <row r="17" spans="1:19" ht="36" customHeight="1">
      <c r="A17" s="7" t="s">
        <v>103</v>
      </c>
      <c r="B17" s="7" t="s">
        <v>73</v>
      </c>
      <c r="C17" s="7" t="s">
        <v>74</v>
      </c>
      <c r="D17" s="7" t="s">
        <v>100</v>
      </c>
      <c r="E17" s="8" t="s">
        <v>81</v>
      </c>
      <c r="F17" s="7" t="s">
        <v>82</v>
      </c>
      <c r="G17" s="7" t="s">
        <v>104</v>
      </c>
      <c r="H17" s="9">
        <f>IF(LEN(G17)=0,"",IF(ISNUMBER(SEARCH(",",G17)),LEN(SUBSTITUTE(G17,",","xx"))-LEN(G17)+1,1))</f>
        <v>4</v>
      </c>
      <c r="I17" s="7" t="s">
        <v>105</v>
      </c>
      <c r="J17" s="9">
        <f>IF(LEN(I17)=0,"",IF(ISNUMBER(SEARCH(",",I17)),LEN(SUBSTITUTE(I17,",","xx"))-LEN(I17)+1,1))</f>
        <v>3</v>
      </c>
      <c r="K17" s="8" t="s">
        <v>64</v>
      </c>
      <c r="L17" s="8" t="s">
        <v>101</v>
      </c>
      <c r="M17" s="10">
        <v>0.66666666666666663</v>
      </c>
      <c r="N17" s="10">
        <v>0.17423138824802506</v>
      </c>
      <c r="O17" s="11" t="str">
        <f>IF(AND(N17&lt;0.05,OR(AND(L17="升高改善",M17&gt;0),AND(L17="降低改善",M17&lt;0))),"校正","不校正")</f>
        <v>不校正</v>
      </c>
      <c r="P17" s="8" t="s">
        <v>102</v>
      </c>
      <c r="Q17" s="8" t="s">
        <v>30</v>
      </c>
      <c r="R17" s="8" t="s">
        <v>31</v>
      </c>
      <c r="S17" s="8" t="s">
        <v>32</v>
      </c>
    </row>
    <row r="18" spans="1:19" ht="36" customHeight="1">
      <c r="A18" s="7" t="s">
        <v>106</v>
      </c>
      <c r="B18" s="7" t="s">
        <v>73</v>
      </c>
      <c r="C18" s="7" t="s">
        <v>85</v>
      </c>
      <c r="D18" s="7" t="s">
        <v>100</v>
      </c>
      <c r="E18" s="8" t="s">
        <v>23</v>
      </c>
      <c r="F18" s="7" t="s">
        <v>76</v>
      </c>
      <c r="G18" s="22"/>
      <c r="H18" s="23"/>
      <c r="I18" s="22"/>
      <c r="J18" s="23"/>
      <c r="K18" s="8" t="s">
        <v>64</v>
      </c>
      <c r="L18" s="8" t="s">
        <v>101</v>
      </c>
      <c r="M18" s="20"/>
      <c r="N18" s="20"/>
      <c r="O18" s="21"/>
      <c r="P18" s="8" t="s">
        <v>107</v>
      </c>
      <c r="Q18" s="8" t="s">
        <v>30</v>
      </c>
      <c r="R18" s="24" t="s">
        <v>94</v>
      </c>
      <c r="S18" s="8" t="s">
        <v>95</v>
      </c>
    </row>
    <row r="19" spans="1:19" ht="36" customHeight="1">
      <c r="A19" s="7" t="s">
        <v>108</v>
      </c>
      <c r="B19" s="7" t="s">
        <v>73</v>
      </c>
      <c r="C19" s="7" t="s">
        <v>85</v>
      </c>
      <c r="D19" s="7" t="s">
        <v>100</v>
      </c>
      <c r="E19" s="8" t="s">
        <v>81</v>
      </c>
      <c r="F19" s="7" t="s">
        <v>82</v>
      </c>
      <c r="G19" s="7" t="s">
        <v>109</v>
      </c>
      <c r="H19" s="9">
        <f>IF(LEN(G19)=0,"",IF(ISNUMBER(SEARCH(",",G19)),LEN(SUBSTITUTE(G19,",","xx"))-LEN(G19)+1,1))</f>
        <v>7</v>
      </c>
      <c r="I19" s="7" t="s">
        <v>110</v>
      </c>
      <c r="J19" s="9">
        <f>IF(LEN(I19)=0,"",IF(ISNUMBER(SEARCH(",",I19)),LEN(SUBSTITUTE(I19,",","xx"))-LEN(I19)+1,1))</f>
        <v>3</v>
      </c>
      <c r="K19" s="8" t="s">
        <v>64</v>
      </c>
      <c r="L19" s="8" t="s">
        <v>101</v>
      </c>
      <c r="M19" s="10">
        <v>0.4879500364742666</v>
      </c>
      <c r="N19" s="10">
        <v>0.12873504895794793</v>
      </c>
      <c r="O19" s="11" t="str">
        <f>IF(AND(N19&lt;0.05,OR(AND(L19="升高改善",M19&gt;0),AND(L19="降低改善",M19&lt;0))),"校正","不校正")</f>
        <v>不校正</v>
      </c>
      <c r="P19" s="8" t="s">
        <v>107</v>
      </c>
      <c r="Q19" s="8" t="s">
        <v>30</v>
      </c>
      <c r="R19" s="8" t="s">
        <v>31</v>
      </c>
      <c r="S19" s="8" t="s">
        <v>32</v>
      </c>
    </row>
    <row r="20" spans="1:19" ht="36" customHeight="1">
      <c r="A20" s="7" t="s">
        <v>111</v>
      </c>
      <c r="B20" s="7" t="s">
        <v>73</v>
      </c>
      <c r="C20" s="7" t="s">
        <v>92</v>
      </c>
      <c r="D20" s="7" t="s">
        <v>100</v>
      </c>
      <c r="E20" s="8" t="s">
        <v>23</v>
      </c>
      <c r="F20" s="7" t="s">
        <v>76</v>
      </c>
      <c r="G20" s="22"/>
      <c r="H20" s="23"/>
      <c r="I20" s="22"/>
      <c r="J20" s="23"/>
      <c r="K20" s="8" t="s">
        <v>64</v>
      </c>
      <c r="L20" s="8" t="s">
        <v>101</v>
      </c>
      <c r="M20" s="20"/>
      <c r="N20" s="20"/>
      <c r="O20" s="21"/>
      <c r="P20" s="8" t="s">
        <v>112</v>
      </c>
      <c r="Q20" s="8" t="s">
        <v>30</v>
      </c>
      <c r="R20" s="24" t="s">
        <v>94</v>
      </c>
      <c r="S20" s="8" t="s">
        <v>95</v>
      </c>
    </row>
    <row r="21" spans="1:19" ht="36" customHeight="1">
      <c r="A21" s="7" t="s">
        <v>113</v>
      </c>
      <c r="B21" s="7" t="s">
        <v>73</v>
      </c>
      <c r="C21" s="7" t="s">
        <v>92</v>
      </c>
      <c r="D21" s="7" t="s">
        <v>100</v>
      </c>
      <c r="E21" s="8" t="s">
        <v>81</v>
      </c>
      <c r="F21" s="7" t="s">
        <v>82</v>
      </c>
      <c r="G21" s="7" t="s">
        <v>114</v>
      </c>
      <c r="H21" s="9">
        <f t="shared" ref="H21:H27" si="3">IF(LEN(G21)=0,"",IF(ISNUMBER(SEARCH(",",G21)),LEN(SUBSTITUTE(G21,",","xx"))-LEN(G21)+1,1))</f>
        <v>10</v>
      </c>
      <c r="I21" s="7" t="s">
        <v>115</v>
      </c>
      <c r="J21" s="9">
        <f t="shared" ref="J21:J27" si="4">IF(LEN(I21)=0,"",IF(ISNUMBER(SEARCH(",",I21)),LEN(SUBSTITUTE(I21,",","xx"))-LEN(I21)+1,1))</f>
        <v>3</v>
      </c>
      <c r="K21" s="8" t="s">
        <v>64</v>
      </c>
      <c r="L21" s="8" t="s">
        <v>101</v>
      </c>
      <c r="M21" s="10">
        <v>0.1797866299901979</v>
      </c>
      <c r="N21" s="10">
        <v>0.47249761400068852</v>
      </c>
      <c r="O21" s="11" t="str">
        <f t="shared" ref="O21:O27" si="5">IF(AND(N21&lt;0.05,OR(AND(L21="升高改善",M21&gt;0),AND(L21="降低改善",M21&lt;0))),"校正","不校正")</f>
        <v>不校正</v>
      </c>
      <c r="P21" s="8" t="s">
        <v>112</v>
      </c>
      <c r="Q21" s="8" t="s">
        <v>30</v>
      </c>
      <c r="R21" s="8" t="s">
        <v>31</v>
      </c>
      <c r="S21" s="8" t="s">
        <v>32</v>
      </c>
    </row>
    <row r="22" spans="1:19" ht="48" customHeight="1">
      <c r="A22" s="12" t="s">
        <v>116</v>
      </c>
      <c r="B22" s="12" t="s">
        <v>117</v>
      </c>
      <c r="C22" s="12" t="s">
        <v>118</v>
      </c>
      <c r="D22" s="12" t="s">
        <v>119</v>
      </c>
      <c r="E22" s="13" t="s">
        <v>23</v>
      </c>
      <c r="F22" s="12" t="s">
        <v>120</v>
      </c>
      <c r="G22" s="12" t="s">
        <v>121</v>
      </c>
      <c r="H22" s="14">
        <f t="shared" si="3"/>
        <v>5</v>
      </c>
      <c r="I22" s="12" t="s">
        <v>122</v>
      </c>
      <c r="J22" s="14">
        <f t="shared" si="4"/>
        <v>9</v>
      </c>
      <c r="K22" s="13" t="s">
        <v>64</v>
      </c>
      <c r="L22" s="13" t="s">
        <v>101</v>
      </c>
      <c r="M22" s="25">
        <v>-0.2</v>
      </c>
      <c r="N22" s="25">
        <v>0.62420611476640608</v>
      </c>
      <c r="O22" s="26" t="str">
        <f t="shared" si="5"/>
        <v>不校正</v>
      </c>
      <c r="P22" s="13" t="s">
        <v>123</v>
      </c>
      <c r="Q22" s="13" t="s">
        <v>30</v>
      </c>
      <c r="R22" s="13" t="s">
        <v>31</v>
      </c>
      <c r="S22" s="13" t="s">
        <v>32</v>
      </c>
    </row>
    <row r="23" spans="1:19" ht="48" customHeight="1">
      <c r="A23" s="17" t="s">
        <v>124</v>
      </c>
      <c r="B23" s="17" t="s">
        <v>117</v>
      </c>
      <c r="C23" s="17" t="s">
        <v>118</v>
      </c>
      <c r="D23" s="17" t="s">
        <v>119</v>
      </c>
      <c r="E23" s="18" t="s">
        <v>23</v>
      </c>
      <c r="F23" s="17" t="s">
        <v>120</v>
      </c>
      <c r="G23" s="17" t="s">
        <v>125</v>
      </c>
      <c r="H23" s="19">
        <f t="shared" si="3"/>
        <v>4</v>
      </c>
      <c r="I23" s="17" t="s">
        <v>126</v>
      </c>
      <c r="J23" s="19">
        <f t="shared" si="4"/>
        <v>7</v>
      </c>
      <c r="K23" s="18" t="s">
        <v>64</v>
      </c>
      <c r="L23" s="18" t="s">
        <v>101</v>
      </c>
      <c r="M23" s="27">
        <v>-0.18257418583505536</v>
      </c>
      <c r="N23" s="27">
        <v>0.71798166673377661</v>
      </c>
      <c r="O23" s="28" t="str">
        <f t="shared" si="5"/>
        <v>不校正</v>
      </c>
      <c r="P23" s="18" t="s">
        <v>127</v>
      </c>
      <c r="Q23" s="18" t="s">
        <v>30</v>
      </c>
      <c r="R23" s="18" t="s">
        <v>31</v>
      </c>
      <c r="S23" s="18" t="s">
        <v>32</v>
      </c>
    </row>
    <row r="24" spans="1:19" ht="27" customHeight="1">
      <c r="A24" s="2" t="s">
        <v>128</v>
      </c>
      <c r="B24" s="2" t="s">
        <v>129</v>
      </c>
      <c r="C24" s="2" t="s">
        <v>130</v>
      </c>
      <c r="D24" s="2" t="s">
        <v>131</v>
      </c>
      <c r="E24" s="3" t="s">
        <v>23</v>
      </c>
      <c r="F24" s="2" t="s">
        <v>132</v>
      </c>
      <c r="G24" s="2" t="s">
        <v>133</v>
      </c>
      <c r="H24" s="4">
        <f t="shared" si="3"/>
        <v>3</v>
      </c>
      <c r="I24" s="2" t="s">
        <v>134</v>
      </c>
      <c r="J24" s="4">
        <f t="shared" si="4"/>
        <v>13</v>
      </c>
      <c r="K24" s="3" t="s">
        <v>64</v>
      </c>
      <c r="L24" s="3" t="s">
        <v>28</v>
      </c>
      <c r="M24" s="5">
        <v>0.33333333333333331</v>
      </c>
      <c r="N24" s="5">
        <v>0.60150813444058993</v>
      </c>
      <c r="O24" s="6" t="str">
        <f t="shared" si="5"/>
        <v>不校正</v>
      </c>
      <c r="P24" s="3" t="s">
        <v>135</v>
      </c>
      <c r="Q24" s="3" t="s">
        <v>30</v>
      </c>
      <c r="R24" s="3" t="s">
        <v>31</v>
      </c>
      <c r="S24" s="3" t="s">
        <v>32</v>
      </c>
    </row>
    <row r="25" spans="1:19" ht="27" customHeight="1">
      <c r="A25" s="7" t="s">
        <v>136</v>
      </c>
      <c r="B25" s="7" t="s">
        <v>129</v>
      </c>
      <c r="C25" s="7" t="s">
        <v>130</v>
      </c>
      <c r="D25" s="7" t="s">
        <v>131</v>
      </c>
      <c r="E25" s="8" t="s">
        <v>81</v>
      </c>
      <c r="F25" s="7" t="s">
        <v>82</v>
      </c>
      <c r="G25" s="7" t="s">
        <v>133</v>
      </c>
      <c r="H25" s="9">
        <f t="shared" si="3"/>
        <v>3</v>
      </c>
      <c r="I25" s="7" t="s">
        <v>137</v>
      </c>
      <c r="J25" s="9">
        <f t="shared" si="4"/>
        <v>4</v>
      </c>
      <c r="K25" s="8" t="s">
        <v>64</v>
      </c>
      <c r="L25" s="8" t="s">
        <v>28</v>
      </c>
      <c r="M25" s="10">
        <v>0.33333333333333331</v>
      </c>
      <c r="N25" s="10">
        <v>0.60150813444058993</v>
      </c>
      <c r="O25" s="11" t="str">
        <f t="shared" si="5"/>
        <v>不校正</v>
      </c>
      <c r="P25" s="8" t="s">
        <v>135</v>
      </c>
      <c r="Q25" s="8" t="s">
        <v>30</v>
      </c>
      <c r="R25" s="8" t="s">
        <v>31</v>
      </c>
      <c r="S25" s="8" t="s">
        <v>32</v>
      </c>
    </row>
    <row r="26" spans="1:19" ht="27" customHeight="1">
      <c r="A26" s="7" t="s">
        <v>138</v>
      </c>
      <c r="B26" s="7" t="s">
        <v>129</v>
      </c>
      <c r="C26" s="7" t="s">
        <v>130</v>
      </c>
      <c r="D26" s="7" t="s">
        <v>139</v>
      </c>
      <c r="E26" s="8" t="s">
        <v>23</v>
      </c>
      <c r="F26" s="7" t="s">
        <v>132</v>
      </c>
      <c r="G26" s="7" t="s">
        <v>140</v>
      </c>
      <c r="H26" s="9">
        <f t="shared" si="3"/>
        <v>7</v>
      </c>
      <c r="I26" s="7" t="s">
        <v>141</v>
      </c>
      <c r="J26" s="9">
        <f t="shared" si="4"/>
        <v>9</v>
      </c>
      <c r="K26" s="8" t="s">
        <v>64</v>
      </c>
      <c r="L26" s="8" t="s">
        <v>28</v>
      </c>
      <c r="M26" s="10">
        <v>-0.4879500364742666</v>
      </c>
      <c r="N26" s="10">
        <v>0.12873504895794793</v>
      </c>
      <c r="O26" s="11" t="str">
        <f t="shared" si="5"/>
        <v>不校正</v>
      </c>
      <c r="P26" s="8" t="s">
        <v>142</v>
      </c>
      <c r="Q26" s="8" t="s">
        <v>30</v>
      </c>
      <c r="R26" s="8" t="s">
        <v>31</v>
      </c>
      <c r="S26" s="8" t="s">
        <v>32</v>
      </c>
    </row>
    <row r="27" spans="1:19" ht="27" customHeight="1">
      <c r="A27" s="7" t="s">
        <v>143</v>
      </c>
      <c r="B27" s="7" t="s">
        <v>129</v>
      </c>
      <c r="C27" s="7" t="s">
        <v>130</v>
      </c>
      <c r="D27" s="7" t="s">
        <v>139</v>
      </c>
      <c r="E27" s="8" t="s">
        <v>81</v>
      </c>
      <c r="F27" s="7" t="s">
        <v>82</v>
      </c>
      <c r="G27" s="7" t="s">
        <v>140</v>
      </c>
      <c r="H27" s="9">
        <f t="shared" si="3"/>
        <v>7</v>
      </c>
      <c r="I27" s="7" t="s">
        <v>144</v>
      </c>
      <c r="J27" s="9">
        <f t="shared" si="4"/>
        <v>4</v>
      </c>
      <c r="K27" s="8" t="s">
        <v>64</v>
      </c>
      <c r="L27" s="8" t="s">
        <v>28</v>
      </c>
      <c r="M27" s="10">
        <v>-0.4879500364742666</v>
      </c>
      <c r="N27" s="10">
        <v>0.12873504895794793</v>
      </c>
      <c r="O27" s="11" t="str">
        <f t="shared" si="5"/>
        <v>不校正</v>
      </c>
      <c r="P27" s="8" t="s">
        <v>142</v>
      </c>
      <c r="Q27" s="8" t="s">
        <v>30</v>
      </c>
      <c r="R27" s="8" t="s">
        <v>31</v>
      </c>
      <c r="S27" s="8" t="s">
        <v>32</v>
      </c>
    </row>
    <row r="28" spans="1:19" ht="27" customHeight="1">
      <c r="A28" s="7" t="s">
        <v>145</v>
      </c>
      <c r="B28" s="7" t="s">
        <v>129</v>
      </c>
      <c r="C28" s="7" t="s">
        <v>130</v>
      </c>
      <c r="D28" s="7" t="s">
        <v>146</v>
      </c>
      <c r="E28" s="8" t="s">
        <v>23</v>
      </c>
      <c r="F28" s="7" t="s">
        <v>132</v>
      </c>
      <c r="G28" s="22"/>
      <c r="H28" s="23"/>
      <c r="I28" s="22"/>
      <c r="J28" s="23"/>
      <c r="K28" s="8" t="s">
        <v>64</v>
      </c>
      <c r="L28" s="8" t="s">
        <v>28</v>
      </c>
      <c r="M28" s="20"/>
      <c r="N28" s="20"/>
      <c r="O28" s="21"/>
      <c r="P28" s="8" t="s">
        <v>147</v>
      </c>
      <c r="Q28" s="8" t="s">
        <v>30</v>
      </c>
      <c r="R28" s="24" t="s">
        <v>94</v>
      </c>
      <c r="S28" s="8" t="s">
        <v>148</v>
      </c>
    </row>
    <row r="29" spans="1:19" ht="27" customHeight="1">
      <c r="A29" s="7" t="s">
        <v>149</v>
      </c>
      <c r="B29" s="7" t="s">
        <v>129</v>
      </c>
      <c r="C29" s="7" t="s">
        <v>130</v>
      </c>
      <c r="D29" s="7" t="s">
        <v>146</v>
      </c>
      <c r="E29" s="8" t="s">
        <v>81</v>
      </c>
      <c r="F29" s="7" t="s">
        <v>82</v>
      </c>
      <c r="G29" s="22"/>
      <c r="H29" s="23"/>
      <c r="I29" s="22"/>
      <c r="J29" s="23"/>
      <c r="K29" s="8" t="s">
        <v>64</v>
      </c>
      <c r="L29" s="8" t="s">
        <v>28</v>
      </c>
      <c r="M29" s="20"/>
      <c r="N29" s="20"/>
      <c r="O29" s="21"/>
      <c r="P29" s="8" t="s">
        <v>147</v>
      </c>
      <c r="Q29" s="8" t="s">
        <v>30</v>
      </c>
      <c r="R29" s="24" t="s">
        <v>94</v>
      </c>
      <c r="S29" s="8" t="s">
        <v>148</v>
      </c>
    </row>
    <row r="30" spans="1:19" ht="27" customHeight="1">
      <c r="A30" s="12" t="s">
        <v>150</v>
      </c>
      <c r="B30" s="12" t="s">
        <v>151</v>
      </c>
      <c r="C30" s="12" t="s">
        <v>152</v>
      </c>
      <c r="D30" s="12" t="s">
        <v>153</v>
      </c>
      <c r="E30" s="13" t="s">
        <v>23</v>
      </c>
      <c r="F30" s="12" t="s">
        <v>154</v>
      </c>
      <c r="G30" s="12" t="s">
        <v>155</v>
      </c>
      <c r="H30" s="14">
        <f t="shared" ref="H30:H61" si="6">IF(LEN(G30)=0,"",IF(ISNUMBER(SEARCH(",",G30)),LEN(SUBSTITUTE(G30,",","xx"))-LEN(G30)+1,1))</f>
        <v>5</v>
      </c>
      <c r="I30" s="12" t="s">
        <v>156</v>
      </c>
      <c r="J30" s="14">
        <f t="shared" ref="J30:J61" si="7">IF(LEN(I30)=0,"",IF(ISNUMBER(SEARCH(",",I30)),LEN(SUBSTITUTE(I30,",","xx"))-LEN(I30)+1,1))</f>
        <v>15</v>
      </c>
      <c r="K30" s="13" t="s">
        <v>157</v>
      </c>
      <c r="L30" s="13" t="s">
        <v>28</v>
      </c>
      <c r="M30" s="25">
        <v>0</v>
      </c>
      <c r="N30" s="25">
        <v>1</v>
      </c>
      <c r="O30" s="26" t="str">
        <f>IF(AND(N30&lt;0.05,OR(AND(L30="升高改善",M30&gt;0),AND(L30="降低改善",M30&lt;0))),"校正","不校正")</f>
        <v>不校正</v>
      </c>
      <c r="P30" s="13" t="s">
        <v>158</v>
      </c>
      <c r="Q30" s="13" t="s">
        <v>159</v>
      </c>
      <c r="R30" s="13" t="s">
        <v>160</v>
      </c>
      <c r="S30" s="13"/>
    </row>
    <row r="31" spans="1:19" ht="27" customHeight="1">
      <c r="A31" s="17" t="s">
        <v>161</v>
      </c>
      <c r="B31" s="17" t="s">
        <v>151</v>
      </c>
      <c r="C31" s="17" t="s">
        <v>152</v>
      </c>
      <c r="D31" s="17" t="s">
        <v>153</v>
      </c>
      <c r="E31" s="18" t="s">
        <v>81</v>
      </c>
      <c r="F31" s="17" t="s">
        <v>82</v>
      </c>
      <c r="G31" s="17" t="s">
        <v>155</v>
      </c>
      <c r="H31" s="19">
        <f t="shared" si="6"/>
        <v>5</v>
      </c>
      <c r="I31" s="17" t="s">
        <v>162</v>
      </c>
      <c r="J31" s="19">
        <f t="shared" si="7"/>
        <v>3</v>
      </c>
      <c r="K31" s="18" t="s">
        <v>157</v>
      </c>
      <c r="L31" s="18" t="s">
        <v>28</v>
      </c>
      <c r="M31" s="27">
        <v>0</v>
      </c>
      <c r="N31" s="27">
        <v>1</v>
      </c>
      <c r="O31" s="28" t="str">
        <f>IF(AND(N31&lt;0.05,OR(AND(L31="升高改善",M31&gt;0),AND(L31="降低改善",M31&lt;0))),"校正","不校正")</f>
        <v>不校正</v>
      </c>
      <c r="P31" s="18" t="s">
        <v>158</v>
      </c>
      <c r="Q31" s="18" t="s">
        <v>159</v>
      </c>
      <c r="R31" s="18" t="s">
        <v>160</v>
      </c>
      <c r="S31" s="18"/>
    </row>
    <row r="32" spans="1:19" ht="27" customHeight="1">
      <c r="A32" s="17" t="s">
        <v>163</v>
      </c>
      <c r="B32" s="17" t="s">
        <v>151</v>
      </c>
      <c r="C32" s="17" t="s">
        <v>152</v>
      </c>
      <c r="D32" s="17" t="s">
        <v>153</v>
      </c>
      <c r="E32" s="18" t="s">
        <v>34</v>
      </c>
      <c r="F32" s="17" t="s">
        <v>164</v>
      </c>
      <c r="G32" s="17" t="s">
        <v>165</v>
      </c>
      <c r="H32" s="19">
        <f t="shared" si="6"/>
        <v>1</v>
      </c>
      <c r="I32" s="17" t="s">
        <v>166</v>
      </c>
      <c r="J32" s="19">
        <f t="shared" si="7"/>
        <v>3</v>
      </c>
      <c r="K32" s="18" t="s">
        <v>157</v>
      </c>
      <c r="L32" s="18" t="s">
        <v>28</v>
      </c>
      <c r="M32" s="20"/>
      <c r="N32" s="20"/>
      <c r="O32" s="21" t="s">
        <v>167</v>
      </c>
      <c r="P32" s="18" t="s">
        <v>168</v>
      </c>
      <c r="Q32" s="18" t="s">
        <v>159</v>
      </c>
      <c r="R32" s="18" t="s">
        <v>160</v>
      </c>
      <c r="S32" s="18" t="s">
        <v>169</v>
      </c>
    </row>
    <row r="33" spans="1:19" ht="27" customHeight="1">
      <c r="A33" s="17" t="s">
        <v>170</v>
      </c>
      <c r="B33" s="17" t="s">
        <v>151</v>
      </c>
      <c r="C33" s="17" t="s">
        <v>152</v>
      </c>
      <c r="D33" s="17" t="s">
        <v>153</v>
      </c>
      <c r="E33" s="18" t="s">
        <v>34</v>
      </c>
      <c r="F33" s="17" t="s">
        <v>171</v>
      </c>
      <c r="G33" s="17" t="s">
        <v>165</v>
      </c>
      <c r="H33" s="19">
        <f t="shared" si="6"/>
        <v>1</v>
      </c>
      <c r="I33" s="17" t="s">
        <v>172</v>
      </c>
      <c r="J33" s="19">
        <f t="shared" si="7"/>
        <v>1</v>
      </c>
      <c r="K33" s="18" t="s">
        <v>157</v>
      </c>
      <c r="L33" s="18" t="s">
        <v>28</v>
      </c>
      <c r="M33" s="20"/>
      <c r="N33" s="20"/>
      <c r="O33" s="21" t="s">
        <v>167</v>
      </c>
      <c r="P33" s="18" t="s">
        <v>168</v>
      </c>
      <c r="Q33" s="18" t="s">
        <v>159</v>
      </c>
      <c r="R33" s="18" t="s">
        <v>160</v>
      </c>
      <c r="S33" s="18" t="s">
        <v>169</v>
      </c>
    </row>
    <row r="34" spans="1:19" ht="27" customHeight="1">
      <c r="A34" s="17" t="s">
        <v>173</v>
      </c>
      <c r="B34" s="17" t="s">
        <v>151</v>
      </c>
      <c r="C34" s="17" t="s">
        <v>174</v>
      </c>
      <c r="D34" s="17" t="s">
        <v>153</v>
      </c>
      <c r="E34" s="18" t="s">
        <v>23</v>
      </c>
      <c r="F34" s="17" t="s">
        <v>154</v>
      </c>
      <c r="G34" s="17" t="s">
        <v>175</v>
      </c>
      <c r="H34" s="19">
        <f t="shared" si="6"/>
        <v>7</v>
      </c>
      <c r="I34" s="17" t="s">
        <v>176</v>
      </c>
      <c r="J34" s="19">
        <f t="shared" si="7"/>
        <v>15</v>
      </c>
      <c r="K34" s="18" t="s">
        <v>157</v>
      </c>
      <c r="L34" s="18" t="s">
        <v>28</v>
      </c>
      <c r="M34" s="27">
        <v>0.55068879175393481</v>
      </c>
      <c r="N34" s="27">
        <v>9.0905348024649849E-2</v>
      </c>
      <c r="O34" s="28" t="str">
        <f>IF(AND(N34&lt;0.05,OR(AND(L34="升高改善",M34&gt;0),AND(L34="降低改善",M34&lt;0))),"校正","不校正")</f>
        <v>不校正</v>
      </c>
      <c r="P34" s="18" t="s">
        <v>177</v>
      </c>
      <c r="Q34" s="18" t="s">
        <v>159</v>
      </c>
      <c r="R34" s="18" t="s">
        <v>160</v>
      </c>
      <c r="S34" s="18"/>
    </row>
    <row r="35" spans="1:19" ht="27" customHeight="1">
      <c r="A35" s="17" t="s">
        <v>178</v>
      </c>
      <c r="B35" s="17" t="s">
        <v>151</v>
      </c>
      <c r="C35" s="17" t="s">
        <v>174</v>
      </c>
      <c r="D35" s="17" t="s">
        <v>153</v>
      </c>
      <c r="E35" s="18" t="s">
        <v>81</v>
      </c>
      <c r="F35" s="17" t="s">
        <v>82</v>
      </c>
      <c r="G35" s="17" t="s">
        <v>175</v>
      </c>
      <c r="H35" s="19">
        <f t="shared" si="6"/>
        <v>7</v>
      </c>
      <c r="I35" s="17" t="s">
        <v>179</v>
      </c>
      <c r="J35" s="19">
        <f t="shared" si="7"/>
        <v>3</v>
      </c>
      <c r="K35" s="18" t="s">
        <v>157</v>
      </c>
      <c r="L35" s="18" t="s">
        <v>28</v>
      </c>
      <c r="M35" s="27">
        <v>0.55068879175393481</v>
      </c>
      <c r="N35" s="27">
        <v>9.0905348024649849E-2</v>
      </c>
      <c r="O35" s="28" t="str">
        <f>IF(AND(N35&lt;0.05,OR(AND(L35="升高改善",M35&gt;0),AND(L35="降低改善",M35&lt;0))),"校正","不校正")</f>
        <v>不校正</v>
      </c>
      <c r="P35" s="18" t="s">
        <v>177</v>
      </c>
      <c r="Q35" s="18" t="s">
        <v>159</v>
      </c>
      <c r="R35" s="18" t="s">
        <v>160</v>
      </c>
      <c r="S35" s="18"/>
    </row>
    <row r="36" spans="1:19" ht="27" customHeight="1">
      <c r="A36" s="17" t="s">
        <v>180</v>
      </c>
      <c r="B36" s="17" t="s">
        <v>151</v>
      </c>
      <c r="C36" s="17" t="s">
        <v>174</v>
      </c>
      <c r="D36" s="17" t="s">
        <v>153</v>
      </c>
      <c r="E36" s="18" t="s">
        <v>34</v>
      </c>
      <c r="F36" s="17" t="s">
        <v>164</v>
      </c>
      <c r="G36" s="17" t="s">
        <v>181</v>
      </c>
      <c r="H36" s="19">
        <f t="shared" si="6"/>
        <v>1</v>
      </c>
      <c r="I36" s="17" t="s">
        <v>182</v>
      </c>
      <c r="J36" s="19">
        <f t="shared" si="7"/>
        <v>3</v>
      </c>
      <c r="K36" s="18" t="s">
        <v>157</v>
      </c>
      <c r="L36" s="18" t="s">
        <v>28</v>
      </c>
      <c r="M36" s="20"/>
      <c r="N36" s="20"/>
      <c r="O36" s="21" t="s">
        <v>167</v>
      </c>
      <c r="P36" s="18" t="s">
        <v>183</v>
      </c>
      <c r="Q36" s="18" t="s">
        <v>159</v>
      </c>
      <c r="R36" s="18" t="s">
        <v>160</v>
      </c>
      <c r="S36" s="18" t="s">
        <v>169</v>
      </c>
    </row>
    <row r="37" spans="1:19" ht="27" customHeight="1">
      <c r="A37" s="17" t="s">
        <v>184</v>
      </c>
      <c r="B37" s="17" t="s">
        <v>151</v>
      </c>
      <c r="C37" s="17" t="s">
        <v>174</v>
      </c>
      <c r="D37" s="17" t="s">
        <v>153</v>
      </c>
      <c r="E37" s="18" t="s">
        <v>34</v>
      </c>
      <c r="F37" s="17" t="s">
        <v>171</v>
      </c>
      <c r="G37" s="17" t="s">
        <v>181</v>
      </c>
      <c r="H37" s="19">
        <f t="shared" si="6"/>
        <v>1</v>
      </c>
      <c r="I37" s="17" t="s">
        <v>185</v>
      </c>
      <c r="J37" s="19">
        <f t="shared" si="7"/>
        <v>1</v>
      </c>
      <c r="K37" s="18" t="s">
        <v>157</v>
      </c>
      <c r="L37" s="18" t="s">
        <v>28</v>
      </c>
      <c r="M37" s="20"/>
      <c r="N37" s="20"/>
      <c r="O37" s="21" t="s">
        <v>167</v>
      </c>
      <c r="P37" s="18" t="s">
        <v>183</v>
      </c>
      <c r="Q37" s="18" t="s">
        <v>159</v>
      </c>
      <c r="R37" s="18" t="s">
        <v>160</v>
      </c>
      <c r="S37" s="18" t="s">
        <v>169</v>
      </c>
    </row>
    <row r="38" spans="1:19" ht="27" customHeight="1">
      <c r="A38" s="17" t="s">
        <v>186</v>
      </c>
      <c r="B38" s="17" t="s">
        <v>151</v>
      </c>
      <c r="C38" s="17" t="s">
        <v>187</v>
      </c>
      <c r="D38" s="17" t="s">
        <v>153</v>
      </c>
      <c r="E38" s="18" t="s">
        <v>23</v>
      </c>
      <c r="F38" s="17" t="s">
        <v>154</v>
      </c>
      <c r="G38" s="17" t="s">
        <v>188</v>
      </c>
      <c r="H38" s="19">
        <f t="shared" si="6"/>
        <v>9</v>
      </c>
      <c r="I38" s="17" t="s">
        <v>189</v>
      </c>
      <c r="J38" s="19">
        <f t="shared" si="7"/>
        <v>15</v>
      </c>
      <c r="K38" s="18" t="s">
        <v>157</v>
      </c>
      <c r="L38" s="18" t="s">
        <v>28</v>
      </c>
      <c r="M38" s="20"/>
      <c r="N38" s="20"/>
      <c r="O38" s="21" t="s">
        <v>190</v>
      </c>
      <c r="P38" s="18" t="s">
        <v>191</v>
      </c>
      <c r="Q38" s="18" t="s">
        <v>159</v>
      </c>
      <c r="R38" s="18" t="s">
        <v>160</v>
      </c>
      <c r="S38" s="18" t="s">
        <v>192</v>
      </c>
    </row>
    <row r="39" spans="1:19" ht="27" customHeight="1">
      <c r="A39" s="17" t="s">
        <v>193</v>
      </c>
      <c r="B39" s="17" t="s">
        <v>151</v>
      </c>
      <c r="C39" s="17" t="s">
        <v>187</v>
      </c>
      <c r="D39" s="17" t="s">
        <v>153</v>
      </c>
      <c r="E39" s="18" t="s">
        <v>81</v>
      </c>
      <c r="F39" s="17" t="s">
        <v>82</v>
      </c>
      <c r="G39" s="17" t="s">
        <v>188</v>
      </c>
      <c r="H39" s="19">
        <f t="shared" si="6"/>
        <v>9</v>
      </c>
      <c r="I39" s="17" t="s">
        <v>194</v>
      </c>
      <c r="J39" s="19">
        <f t="shared" si="7"/>
        <v>3</v>
      </c>
      <c r="K39" s="18" t="s">
        <v>157</v>
      </c>
      <c r="L39" s="18" t="s">
        <v>28</v>
      </c>
      <c r="M39" s="20"/>
      <c r="N39" s="20"/>
      <c r="O39" s="21" t="s">
        <v>190</v>
      </c>
      <c r="P39" s="18" t="s">
        <v>191</v>
      </c>
      <c r="Q39" s="18" t="s">
        <v>159</v>
      </c>
      <c r="R39" s="18" t="s">
        <v>160</v>
      </c>
      <c r="S39" s="18" t="s">
        <v>192</v>
      </c>
    </row>
    <row r="40" spans="1:19" ht="27" customHeight="1">
      <c r="A40" s="17" t="s">
        <v>195</v>
      </c>
      <c r="B40" s="17" t="s">
        <v>151</v>
      </c>
      <c r="C40" s="17" t="s">
        <v>187</v>
      </c>
      <c r="D40" s="17" t="s">
        <v>153</v>
      </c>
      <c r="E40" s="18" t="s">
        <v>34</v>
      </c>
      <c r="F40" s="17" t="s">
        <v>164</v>
      </c>
      <c r="G40" s="17" t="s">
        <v>196</v>
      </c>
      <c r="H40" s="19">
        <f t="shared" si="6"/>
        <v>1</v>
      </c>
      <c r="I40" s="17" t="s">
        <v>197</v>
      </c>
      <c r="J40" s="19">
        <f t="shared" si="7"/>
        <v>3</v>
      </c>
      <c r="K40" s="18" t="s">
        <v>157</v>
      </c>
      <c r="L40" s="18" t="s">
        <v>28</v>
      </c>
      <c r="M40" s="20"/>
      <c r="N40" s="20"/>
      <c r="O40" s="21" t="s">
        <v>167</v>
      </c>
      <c r="P40" s="18" t="s">
        <v>198</v>
      </c>
      <c r="Q40" s="18" t="s">
        <v>159</v>
      </c>
      <c r="R40" s="18" t="s">
        <v>160</v>
      </c>
      <c r="S40" s="18" t="s">
        <v>169</v>
      </c>
    </row>
    <row r="41" spans="1:19" ht="27" customHeight="1">
      <c r="A41" s="17" t="s">
        <v>199</v>
      </c>
      <c r="B41" s="17" t="s">
        <v>151</v>
      </c>
      <c r="C41" s="17" t="s">
        <v>187</v>
      </c>
      <c r="D41" s="17" t="s">
        <v>153</v>
      </c>
      <c r="E41" s="18" t="s">
        <v>34</v>
      </c>
      <c r="F41" s="17" t="s">
        <v>171</v>
      </c>
      <c r="G41" s="17" t="s">
        <v>196</v>
      </c>
      <c r="H41" s="19">
        <f t="shared" si="6"/>
        <v>1</v>
      </c>
      <c r="I41" s="17" t="s">
        <v>200</v>
      </c>
      <c r="J41" s="19">
        <f t="shared" si="7"/>
        <v>1</v>
      </c>
      <c r="K41" s="18" t="s">
        <v>157</v>
      </c>
      <c r="L41" s="18" t="s">
        <v>28</v>
      </c>
      <c r="M41" s="20"/>
      <c r="N41" s="20"/>
      <c r="O41" s="21" t="s">
        <v>167</v>
      </c>
      <c r="P41" s="18" t="s">
        <v>198</v>
      </c>
      <c r="Q41" s="18" t="s">
        <v>159</v>
      </c>
      <c r="R41" s="18" t="s">
        <v>160</v>
      </c>
      <c r="S41" s="18" t="s">
        <v>169</v>
      </c>
    </row>
    <row r="42" spans="1:19" ht="36" customHeight="1">
      <c r="A42" s="17" t="s">
        <v>201</v>
      </c>
      <c r="B42" s="17" t="s">
        <v>151</v>
      </c>
      <c r="C42" s="17" t="s">
        <v>152</v>
      </c>
      <c r="D42" s="17" t="s">
        <v>202</v>
      </c>
      <c r="E42" s="18" t="s">
        <v>23</v>
      </c>
      <c r="F42" s="17" t="s">
        <v>154</v>
      </c>
      <c r="G42" s="17" t="s">
        <v>203</v>
      </c>
      <c r="H42" s="19">
        <f t="shared" si="6"/>
        <v>5</v>
      </c>
      <c r="I42" s="17" t="s">
        <v>204</v>
      </c>
      <c r="J42" s="19">
        <f t="shared" si="7"/>
        <v>15</v>
      </c>
      <c r="K42" s="18" t="s">
        <v>157</v>
      </c>
      <c r="L42" s="18" t="s">
        <v>28</v>
      </c>
      <c r="M42" s="20"/>
      <c r="N42" s="20"/>
      <c r="O42" s="21" t="s">
        <v>190</v>
      </c>
      <c r="P42" s="18" t="s">
        <v>205</v>
      </c>
      <c r="Q42" s="18" t="s">
        <v>159</v>
      </c>
      <c r="R42" s="18" t="s">
        <v>160</v>
      </c>
      <c r="S42" s="18" t="s">
        <v>192</v>
      </c>
    </row>
    <row r="43" spans="1:19" ht="36" customHeight="1">
      <c r="A43" s="17" t="s">
        <v>206</v>
      </c>
      <c r="B43" s="17" t="s">
        <v>151</v>
      </c>
      <c r="C43" s="17" t="s">
        <v>152</v>
      </c>
      <c r="D43" s="17" t="s">
        <v>202</v>
      </c>
      <c r="E43" s="18" t="s">
        <v>81</v>
      </c>
      <c r="F43" s="17" t="s">
        <v>82</v>
      </c>
      <c r="G43" s="17" t="s">
        <v>203</v>
      </c>
      <c r="H43" s="19">
        <f t="shared" si="6"/>
        <v>5</v>
      </c>
      <c r="I43" s="17" t="s">
        <v>207</v>
      </c>
      <c r="J43" s="19">
        <f t="shared" si="7"/>
        <v>3</v>
      </c>
      <c r="K43" s="18" t="s">
        <v>157</v>
      </c>
      <c r="L43" s="18" t="s">
        <v>28</v>
      </c>
      <c r="M43" s="20"/>
      <c r="N43" s="20"/>
      <c r="O43" s="21" t="s">
        <v>190</v>
      </c>
      <c r="P43" s="18" t="s">
        <v>205</v>
      </c>
      <c r="Q43" s="18" t="s">
        <v>159</v>
      </c>
      <c r="R43" s="18" t="s">
        <v>160</v>
      </c>
      <c r="S43" s="18" t="s">
        <v>192</v>
      </c>
    </row>
    <row r="44" spans="1:19" ht="36" customHeight="1">
      <c r="A44" s="17" t="s">
        <v>208</v>
      </c>
      <c r="B44" s="17" t="s">
        <v>151</v>
      </c>
      <c r="C44" s="17" t="s">
        <v>152</v>
      </c>
      <c r="D44" s="17" t="s">
        <v>202</v>
      </c>
      <c r="E44" s="18" t="s">
        <v>34</v>
      </c>
      <c r="F44" s="17" t="s">
        <v>164</v>
      </c>
      <c r="G44" s="17" t="s">
        <v>200</v>
      </c>
      <c r="H44" s="19">
        <f t="shared" si="6"/>
        <v>1</v>
      </c>
      <c r="I44" s="17" t="s">
        <v>209</v>
      </c>
      <c r="J44" s="19">
        <f t="shared" si="7"/>
        <v>3</v>
      </c>
      <c r="K44" s="18" t="s">
        <v>157</v>
      </c>
      <c r="L44" s="18" t="s">
        <v>28</v>
      </c>
      <c r="M44" s="20"/>
      <c r="N44" s="20"/>
      <c r="O44" s="21" t="s">
        <v>167</v>
      </c>
      <c r="P44" s="18" t="s">
        <v>210</v>
      </c>
      <c r="Q44" s="18" t="s">
        <v>159</v>
      </c>
      <c r="R44" s="18" t="s">
        <v>160</v>
      </c>
      <c r="S44" s="18" t="s">
        <v>169</v>
      </c>
    </row>
    <row r="45" spans="1:19" ht="36" customHeight="1">
      <c r="A45" s="17" t="s">
        <v>211</v>
      </c>
      <c r="B45" s="17" t="s">
        <v>151</v>
      </c>
      <c r="C45" s="17" t="s">
        <v>152</v>
      </c>
      <c r="D45" s="17" t="s">
        <v>202</v>
      </c>
      <c r="E45" s="18" t="s">
        <v>34</v>
      </c>
      <c r="F45" s="17" t="s">
        <v>171</v>
      </c>
      <c r="G45" s="17" t="s">
        <v>200</v>
      </c>
      <c r="H45" s="19">
        <f t="shared" si="6"/>
        <v>1</v>
      </c>
      <c r="I45" s="17" t="s">
        <v>212</v>
      </c>
      <c r="J45" s="19">
        <f t="shared" si="7"/>
        <v>1</v>
      </c>
      <c r="K45" s="18" t="s">
        <v>157</v>
      </c>
      <c r="L45" s="18" t="s">
        <v>28</v>
      </c>
      <c r="M45" s="20"/>
      <c r="N45" s="20"/>
      <c r="O45" s="21" t="s">
        <v>167</v>
      </c>
      <c r="P45" s="18" t="s">
        <v>210</v>
      </c>
      <c r="Q45" s="18" t="s">
        <v>159</v>
      </c>
      <c r="R45" s="18" t="s">
        <v>160</v>
      </c>
      <c r="S45" s="18" t="s">
        <v>169</v>
      </c>
    </row>
    <row r="46" spans="1:19" ht="27" customHeight="1">
      <c r="A46" s="17" t="s">
        <v>213</v>
      </c>
      <c r="B46" s="17" t="s">
        <v>151</v>
      </c>
      <c r="C46" s="17" t="s">
        <v>152</v>
      </c>
      <c r="D46" s="17" t="s">
        <v>214</v>
      </c>
      <c r="E46" s="18" t="s">
        <v>23</v>
      </c>
      <c r="F46" s="17" t="s">
        <v>154</v>
      </c>
      <c r="G46" s="17" t="s">
        <v>215</v>
      </c>
      <c r="H46" s="19">
        <f t="shared" si="6"/>
        <v>5</v>
      </c>
      <c r="I46" s="17" t="s">
        <v>216</v>
      </c>
      <c r="J46" s="19">
        <f t="shared" si="7"/>
        <v>15</v>
      </c>
      <c r="K46" s="18" t="s">
        <v>157</v>
      </c>
      <c r="L46" s="18" t="s">
        <v>28</v>
      </c>
      <c r="M46" s="27">
        <v>0.7745966692414834</v>
      </c>
      <c r="N46" s="27">
        <v>8.3264516663550364E-2</v>
      </c>
      <c r="O46" s="28" t="str">
        <f>IF(AND(N46&lt;0.05,OR(AND(L46="升高改善",M46&gt;0),AND(L46="降低改善",M46&lt;0))),"校正","不校正")</f>
        <v>不校正</v>
      </c>
      <c r="P46" s="18" t="s">
        <v>217</v>
      </c>
      <c r="Q46" s="18" t="s">
        <v>159</v>
      </c>
      <c r="R46" s="18" t="s">
        <v>160</v>
      </c>
      <c r="S46" s="18"/>
    </row>
    <row r="47" spans="1:19" ht="27" customHeight="1">
      <c r="A47" s="17" t="s">
        <v>218</v>
      </c>
      <c r="B47" s="17" t="s">
        <v>151</v>
      </c>
      <c r="C47" s="17" t="s">
        <v>152</v>
      </c>
      <c r="D47" s="17" t="s">
        <v>214</v>
      </c>
      <c r="E47" s="18" t="s">
        <v>81</v>
      </c>
      <c r="F47" s="17" t="s">
        <v>82</v>
      </c>
      <c r="G47" s="17" t="s">
        <v>215</v>
      </c>
      <c r="H47" s="19">
        <f t="shared" si="6"/>
        <v>5</v>
      </c>
      <c r="I47" s="17" t="s">
        <v>219</v>
      </c>
      <c r="J47" s="19">
        <f t="shared" si="7"/>
        <v>3</v>
      </c>
      <c r="K47" s="18" t="s">
        <v>157</v>
      </c>
      <c r="L47" s="18" t="s">
        <v>28</v>
      </c>
      <c r="M47" s="27">
        <v>0.7745966692414834</v>
      </c>
      <c r="N47" s="27">
        <v>8.3264516663550364E-2</v>
      </c>
      <c r="O47" s="28" t="str">
        <f>IF(AND(N47&lt;0.05,OR(AND(L47="升高改善",M47&gt;0),AND(L47="降低改善",M47&lt;0))),"校正","不校正")</f>
        <v>不校正</v>
      </c>
      <c r="P47" s="18" t="s">
        <v>217</v>
      </c>
      <c r="Q47" s="18" t="s">
        <v>159</v>
      </c>
      <c r="R47" s="18" t="s">
        <v>160</v>
      </c>
      <c r="S47" s="18"/>
    </row>
    <row r="48" spans="1:19" ht="36" customHeight="1">
      <c r="A48" s="17" t="s">
        <v>220</v>
      </c>
      <c r="B48" s="17" t="s">
        <v>151</v>
      </c>
      <c r="C48" s="17" t="s">
        <v>152</v>
      </c>
      <c r="D48" s="17" t="s">
        <v>214</v>
      </c>
      <c r="E48" s="18" t="s">
        <v>34</v>
      </c>
      <c r="F48" s="17" t="s">
        <v>164</v>
      </c>
      <c r="G48" s="17" t="s">
        <v>165</v>
      </c>
      <c r="H48" s="19">
        <f t="shared" si="6"/>
        <v>1</v>
      </c>
      <c r="I48" s="17" t="s">
        <v>221</v>
      </c>
      <c r="J48" s="19">
        <f t="shared" si="7"/>
        <v>3</v>
      </c>
      <c r="K48" s="18" t="s">
        <v>157</v>
      </c>
      <c r="L48" s="18" t="s">
        <v>28</v>
      </c>
      <c r="M48" s="20"/>
      <c r="N48" s="20"/>
      <c r="O48" s="21" t="s">
        <v>167</v>
      </c>
      <c r="P48" s="18" t="s">
        <v>222</v>
      </c>
      <c r="Q48" s="18" t="s">
        <v>159</v>
      </c>
      <c r="R48" s="18" t="s">
        <v>160</v>
      </c>
      <c r="S48" s="18" t="s">
        <v>169</v>
      </c>
    </row>
    <row r="49" spans="1:19" ht="36" customHeight="1">
      <c r="A49" s="17" t="s">
        <v>223</v>
      </c>
      <c r="B49" s="17" t="s">
        <v>151</v>
      </c>
      <c r="C49" s="17" t="s">
        <v>152</v>
      </c>
      <c r="D49" s="17" t="s">
        <v>214</v>
      </c>
      <c r="E49" s="18" t="s">
        <v>34</v>
      </c>
      <c r="F49" s="17" t="s">
        <v>171</v>
      </c>
      <c r="G49" s="17" t="s">
        <v>165</v>
      </c>
      <c r="H49" s="19">
        <f t="shared" si="6"/>
        <v>1</v>
      </c>
      <c r="I49" s="17" t="s">
        <v>165</v>
      </c>
      <c r="J49" s="19">
        <f t="shared" si="7"/>
        <v>1</v>
      </c>
      <c r="K49" s="18" t="s">
        <v>157</v>
      </c>
      <c r="L49" s="18" t="s">
        <v>28</v>
      </c>
      <c r="M49" s="20"/>
      <c r="N49" s="20"/>
      <c r="O49" s="21" t="s">
        <v>167</v>
      </c>
      <c r="P49" s="18" t="s">
        <v>222</v>
      </c>
      <c r="Q49" s="18" t="s">
        <v>159</v>
      </c>
      <c r="R49" s="18" t="s">
        <v>160</v>
      </c>
      <c r="S49" s="18" t="s">
        <v>169</v>
      </c>
    </row>
    <row r="50" spans="1:19" ht="36" customHeight="1">
      <c r="A50" s="17" t="s">
        <v>224</v>
      </c>
      <c r="B50" s="17" t="s">
        <v>151</v>
      </c>
      <c r="C50" s="17" t="s">
        <v>174</v>
      </c>
      <c r="D50" s="17" t="s">
        <v>202</v>
      </c>
      <c r="E50" s="18" t="s">
        <v>23</v>
      </c>
      <c r="F50" s="17" t="s">
        <v>154</v>
      </c>
      <c r="G50" s="17" t="s">
        <v>225</v>
      </c>
      <c r="H50" s="19">
        <f t="shared" si="6"/>
        <v>7</v>
      </c>
      <c r="I50" s="17" t="s">
        <v>226</v>
      </c>
      <c r="J50" s="19">
        <f t="shared" si="7"/>
        <v>15</v>
      </c>
      <c r="K50" s="18" t="s">
        <v>157</v>
      </c>
      <c r="L50" s="18" t="s">
        <v>28</v>
      </c>
      <c r="M50" s="27">
        <v>0.15018785229652767</v>
      </c>
      <c r="N50" s="27">
        <v>0.64473836368889592</v>
      </c>
      <c r="O50" s="28" t="str">
        <f>IF(AND(N50&lt;0.05,OR(AND(L50="升高改善",M50&gt;0),AND(L50="降低改善",M50&lt;0))),"校正","不校正")</f>
        <v>不校正</v>
      </c>
      <c r="P50" s="18" t="s">
        <v>227</v>
      </c>
      <c r="Q50" s="18" t="s">
        <v>159</v>
      </c>
      <c r="R50" s="18" t="s">
        <v>160</v>
      </c>
      <c r="S50" s="18"/>
    </row>
    <row r="51" spans="1:19" ht="36" customHeight="1">
      <c r="A51" s="17" t="s">
        <v>228</v>
      </c>
      <c r="B51" s="17" t="s">
        <v>151</v>
      </c>
      <c r="C51" s="17" t="s">
        <v>174</v>
      </c>
      <c r="D51" s="17" t="s">
        <v>202</v>
      </c>
      <c r="E51" s="18" t="s">
        <v>81</v>
      </c>
      <c r="F51" s="17" t="s">
        <v>82</v>
      </c>
      <c r="G51" s="17" t="s">
        <v>225</v>
      </c>
      <c r="H51" s="19">
        <f t="shared" si="6"/>
        <v>7</v>
      </c>
      <c r="I51" s="17" t="s">
        <v>229</v>
      </c>
      <c r="J51" s="19">
        <f t="shared" si="7"/>
        <v>3</v>
      </c>
      <c r="K51" s="18" t="s">
        <v>157</v>
      </c>
      <c r="L51" s="18" t="s">
        <v>28</v>
      </c>
      <c r="M51" s="27">
        <v>0.15018785229652767</v>
      </c>
      <c r="N51" s="27">
        <v>0.64473836368889592</v>
      </c>
      <c r="O51" s="28" t="str">
        <f>IF(AND(N51&lt;0.05,OR(AND(L51="升高改善",M51&gt;0),AND(L51="降低改善",M51&lt;0))),"校正","不校正")</f>
        <v>不校正</v>
      </c>
      <c r="P51" s="18" t="s">
        <v>227</v>
      </c>
      <c r="Q51" s="18" t="s">
        <v>159</v>
      </c>
      <c r="R51" s="18" t="s">
        <v>160</v>
      </c>
      <c r="S51" s="18"/>
    </row>
    <row r="52" spans="1:19" ht="36" customHeight="1">
      <c r="A52" s="17" t="s">
        <v>230</v>
      </c>
      <c r="B52" s="17" t="s">
        <v>151</v>
      </c>
      <c r="C52" s="17" t="s">
        <v>174</v>
      </c>
      <c r="D52" s="17" t="s">
        <v>202</v>
      </c>
      <c r="E52" s="18" t="s">
        <v>34</v>
      </c>
      <c r="F52" s="17" t="s">
        <v>164</v>
      </c>
      <c r="G52" s="17" t="s">
        <v>181</v>
      </c>
      <c r="H52" s="19">
        <f t="shared" si="6"/>
        <v>1</v>
      </c>
      <c r="I52" s="17" t="s">
        <v>231</v>
      </c>
      <c r="J52" s="19">
        <f t="shared" si="7"/>
        <v>3</v>
      </c>
      <c r="K52" s="18" t="s">
        <v>157</v>
      </c>
      <c r="L52" s="18" t="s">
        <v>28</v>
      </c>
      <c r="M52" s="20"/>
      <c r="N52" s="20"/>
      <c r="O52" s="21" t="s">
        <v>167</v>
      </c>
      <c r="P52" s="18" t="s">
        <v>232</v>
      </c>
      <c r="Q52" s="18" t="s">
        <v>159</v>
      </c>
      <c r="R52" s="18" t="s">
        <v>160</v>
      </c>
      <c r="S52" s="18" t="s">
        <v>169</v>
      </c>
    </row>
    <row r="53" spans="1:19" ht="36" customHeight="1">
      <c r="A53" s="17" t="s">
        <v>233</v>
      </c>
      <c r="B53" s="17" t="s">
        <v>151</v>
      </c>
      <c r="C53" s="17" t="s">
        <v>174</v>
      </c>
      <c r="D53" s="17" t="s">
        <v>202</v>
      </c>
      <c r="E53" s="18" t="s">
        <v>34</v>
      </c>
      <c r="F53" s="17" t="s">
        <v>171</v>
      </c>
      <c r="G53" s="17" t="s">
        <v>181</v>
      </c>
      <c r="H53" s="19">
        <f t="shared" si="6"/>
        <v>1</v>
      </c>
      <c r="I53" s="17" t="s">
        <v>181</v>
      </c>
      <c r="J53" s="19">
        <f t="shared" si="7"/>
        <v>1</v>
      </c>
      <c r="K53" s="18" t="s">
        <v>157</v>
      </c>
      <c r="L53" s="18" t="s">
        <v>28</v>
      </c>
      <c r="M53" s="20"/>
      <c r="N53" s="20"/>
      <c r="O53" s="21" t="s">
        <v>167</v>
      </c>
      <c r="P53" s="18" t="s">
        <v>232</v>
      </c>
      <c r="Q53" s="18" t="s">
        <v>159</v>
      </c>
      <c r="R53" s="18" t="s">
        <v>160</v>
      </c>
      <c r="S53" s="18" t="s">
        <v>169</v>
      </c>
    </row>
    <row r="54" spans="1:19" ht="27" customHeight="1">
      <c r="A54" s="17" t="s">
        <v>234</v>
      </c>
      <c r="B54" s="17" t="s">
        <v>151</v>
      </c>
      <c r="C54" s="17" t="s">
        <v>174</v>
      </c>
      <c r="D54" s="17" t="s">
        <v>214</v>
      </c>
      <c r="E54" s="18" t="s">
        <v>23</v>
      </c>
      <c r="F54" s="17" t="s">
        <v>154</v>
      </c>
      <c r="G54" s="17" t="s">
        <v>235</v>
      </c>
      <c r="H54" s="19">
        <f t="shared" si="6"/>
        <v>7</v>
      </c>
      <c r="I54" s="17" t="s">
        <v>236</v>
      </c>
      <c r="J54" s="19">
        <f t="shared" si="7"/>
        <v>15</v>
      </c>
      <c r="K54" s="18" t="s">
        <v>157</v>
      </c>
      <c r="L54" s="18" t="s">
        <v>28</v>
      </c>
      <c r="M54" s="27">
        <v>0.26462806201248157</v>
      </c>
      <c r="N54" s="27">
        <v>0.4272628567457063</v>
      </c>
      <c r="O54" s="28" t="str">
        <f>IF(AND(N54&lt;0.05,OR(AND(L54="升高改善",M54&gt;0),AND(L54="降低改善",M54&lt;0))),"校正","不校正")</f>
        <v>不校正</v>
      </c>
      <c r="P54" s="18" t="s">
        <v>237</v>
      </c>
      <c r="Q54" s="18" t="s">
        <v>159</v>
      </c>
      <c r="R54" s="18" t="s">
        <v>160</v>
      </c>
      <c r="S54" s="18"/>
    </row>
    <row r="55" spans="1:19" ht="27" customHeight="1">
      <c r="A55" s="17" t="s">
        <v>238</v>
      </c>
      <c r="B55" s="17" t="s">
        <v>151</v>
      </c>
      <c r="C55" s="17" t="s">
        <v>174</v>
      </c>
      <c r="D55" s="17" t="s">
        <v>214</v>
      </c>
      <c r="E55" s="18" t="s">
        <v>81</v>
      </c>
      <c r="F55" s="17" t="s">
        <v>82</v>
      </c>
      <c r="G55" s="17" t="s">
        <v>235</v>
      </c>
      <c r="H55" s="19">
        <f t="shared" si="6"/>
        <v>7</v>
      </c>
      <c r="I55" s="17" t="s">
        <v>239</v>
      </c>
      <c r="J55" s="19">
        <f t="shared" si="7"/>
        <v>3</v>
      </c>
      <c r="K55" s="18" t="s">
        <v>157</v>
      </c>
      <c r="L55" s="18" t="s">
        <v>28</v>
      </c>
      <c r="M55" s="27">
        <v>0.26462806201248157</v>
      </c>
      <c r="N55" s="27">
        <v>0.4272628567457063</v>
      </c>
      <c r="O55" s="28" t="str">
        <f>IF(AND(N55&lt;0.05,OR(AND(L55="升高改善",M55&gt;0),AND(L55="降低改善",M55&lt;0))),"校正","不校正")</f>
        <v>不校正</v>
      </c>
      <c r="P55" s="18" t="s">
        <v>237</v>
      </c>
      <c r="Q55" s="18" t="s">
        <v>159</v>
      </c>
      <c r="R55" s="18" t="s">
        <v>160</v>
      </c>
      <c r="S55" s="18"/>
    </row>
    <row r="56" spans="1:19" ht="27" customHeight="1">
      <c r="A56" s="17" t="s">
        <v>240</v>
      </c>
      <c r="B56" s="17" t="s">
        <v>151</v>
      </c>
      <c r="C56" s="17" t="s">
        <v>174</v>
      </c>
      <c r="D56" s="17" t="s">
        <v>214</v>
      </c>
      <c r="E56" s="18" t="s">
        <v>34</v>
      </c>
      <c r="F56" s="17" t="s">
        <v>164</v>
      </c>
      <c r="G56" s="17" t="s">
        <v>200</v>
      </c>
      <c r="H56" s="19">
        <f t="shared" si="6"/>
        <v>1</v>
      </c>
      <c r="I56" s="17" t="s">
        <v>241</v>
      </c>
      <c r="J56" s="19">
        <f t="shared" si="7"/>
        <v>3</v>
      </c>
      <c r="K56" s="18" t="s">
        <v>157</v>
      </c>
      <c r="L56" s="18" t="s">
        <v>28</v>
      </c>
      <c r="M56" s="20"/>
      <c r="N56" s="20"/>
      <c r="O56" s="21" t="s">
        <v>167</v>
      </c>
      <c r="P56" s="18" t="s">
        <v>242</v>
      </c>
      <c r="Q56" s="18" t="s">
        <v>159</v>
      </c>
      <c r="R56" s="18" t="s">
        <v>160</v>
      </c>
      <c r="S56" s="18" t="s">
        <v>169</v>
      </c>
    </row>
    <row r="57" spans="1:19" ht="27" customHeight="1">
      <c r="A57" s="17" t="s">
        <v>243</v>
      </c>
      <c r="B57" s="17" t="s">
        <v>151</v>
      </c>
      <c r="C57" s="17" t="s">
        <v>174</v>
      </c>
      <c r="D57" s="17" t="s">
        <v>214</v>
      </c>
      <c r="E57" s="18" t="s">
        <v>34</v>
      </c>
      <c r="F57" s="17" t="s">
        <v>171</v>
      </c>
      <c r="G57" s="17" t="s">
        <v>200</v>
      </c>
      <c r="H57" s="19">
        <f t="shared" si="6"/>
        <v>1</v>
      </c>
      <c r="I57" s="17" t="s">
        <v>244</v>
      </c>
      <c r="J57" s="19">
        <f t="shared" si="7"/>
        <v>1</v>
      </c>
      <c r="K57" s="18" t="s">
        <v>157</v>
      </c>
      <c r="L57" s="18" t="s">
        <v>28</v>
      </c>
      <c r="M57" s="20"/>
      <c r="N57" s="20"/>
      <c r="O57" s="21" t="s">
        <v>167</v>
      </c>
      <c r="P57" s="18" t="s">
        <v>242</v>
      </c>
      <c r="Q57" s="18" t="s">
        <v>159</v>
      </c>
      <c r="R57" s="18" t="s">
        <v>160</v>
      </c>
      <c r="S57" s="18" t="s">
        <v>169</v>
      </c>
    </row>
    <row r="58" spans="1:19" ht="36" customHeight="1">
      <c r="A58" s="17" t="s">
        <v>245</v>
      </c>
      <c r="B58" s="17" t="s">
        <v>151</v>
      </c>
      <c r="C58" s="17" t="s">
        <v>187</v>
      </c>
      <c r="D58" s="17" t="s">
        <v>202</v>
      </c>
      <c r="E58" s="18" t="s">
        <v>23</v>
      </c>
      <c r="F58" s="17" t="s">
        <v>154</v>
      </c>
      <c r="G58" s="17" t="s">
        <v>246</v>
      </c>
      <c r="H58" s="19">
        <f t="shared" si="6"/>
        <v>9</v>
      </c>
      <c r="I58" s="17" t="s">
        <v>247</v>
      </c>
      <c r="J58" s="19">
        <f t="shared" si="7"/>
        <v>15</v>
      </c>
      <c r="K58" s="18" t="s">
        <v>157</v>
      </c>
      <c r="L58" s="18" t="s">
        <v>28</v>
      </c>
      <c r="M58" s="27">
        <v>0.19611613513818402</v>
      </c>
      <c r="N58" s="27">
        <v>0.49873503536612174</v>
      </c>
      <c r="O58" s="28" t="str">
        <f>IF(AND(N58&lt;0.05,OR(AND(L58="升高改善",M58&gt;0),AND(L58="降低改善",M58&lt;0))),"校正","不校正")</f>
        <v>不校正</v>
      </c>
      <c r="P58" s="18" t="s">
        <v>248</v>
      </c>
      <c r="Q58" s="18" t="s">
        <v>159</v>
      </c>
      <c r="R58" s="18" t="s">
        <v>160</v>
      </c>
      <c r="S58" s="18"/>
    </row>
    <row r="59" spans="1:19" ht="36" customHeight="1">
      <c r="A59" s="17" t="s">
        <v>249</v>
      </c>
      <c r="B59" s="17" t="s">
        <v>151</v>
      </c>
      <c r="C59" s="17" t="s">
        <v>187</v>
      </c>
      <c r="D59" s="17" t="s">
        <v>202</v>
      </c>
      <c r="E59" s="18" t="s">
        <v>81</v>
      </c>
      <c r="F59" s="17" t="s">
        <v>82</v>
      </c>
      <c r="G59" s="17" t="s">
        <v>246</v>
      </c>
      <c r="H59" s="19">
        <f t="shared" si="6"/>
        <v>9</v>
      </c>
      <c r="I59" s="17" t="s">
        <v>250</v>
      </c>
      <c r="J59" s="19">
        <f t="shared" si="7"/>
        <v>3</v>
      </c>
      <c r="K59" s="18" t="s">
        <v>157</v>
      </c>
      <c r="L59" s="18" t="s">
        <v>28</v>
      </c>
      <c r="M59" s="27">
        <v>0.19611613513818402</v>
      </c>
      <c r="N59" s="27">
        <v>0.49873503536612174</v>
      </c>
      <c r="O59" s="28" t="str">
        <f>IF(AND(N59&lt;0.05,OR(AND(L59="升高改善",M59&gt;0),AND(L59="降低改善",M59&lt;0))),"校正","不校正")</f>
        <v>不校正</v>
      </c>
      <c r="P59" s="18" t="s">
        <v>248</v>
      </c>
      <c r="Q59" s="18" t="s">
        <v>159</v>
      </c>
      <c r="R59" s="18" t="s">
        <v>160</v>
      </c>
      <c r="S59" s="18"/>
    </row>
    <row r="60" spans="1:19" ht="36" customHeight="1">
      <c r="A60" s="17" t="s">
        <v>251</v>
      </c>
      <c r="B60" s="17" t="s">
        <v>151</v>
      </c>
      <c r="C60" s="17" t="s">
        <v>187</v>
      </c>
      <c r="D60" s="17" t="s">
        <v>202</v>
      </c>
      <c r="E60" s="18" t="s">
        <v>34</v>
      </c>
      <c r="F60" s="17" t="s">
        <v>164</v>
      </c>
      <c r="G60" s="17" t="s">
        <v>165</v>
      </c>
      <c r="H60" s="19">
        <f t="shared" si="6"/>
        <v>1</v>
      </c>
      <c r="I60" s="17" t="s">
        <v>252</v>
      </c>
      <c r="J60" s="19">
        <f t="shared" si="7"/>
        <v>2</v>
      </c>
      <c r="K60" s="18" t="s">
        <v>157</v>
      </c>
      <c r="L60" s="18" t="s">
        <v>28</v>
      </c>
      <c r="M60" s="20"/>
      <c r="N60" s="20"/>
      <c r="O60" s="21" t="s">
        <v>167</v>
      </c>
      <c r="P60" s="18" t="s">
        <v>253</v>
      </c>
      <c r="Q60" s="18" t="s">
        <v>159</v>
      </c>
      <c r="R60" s="18" t="s">
        <v>160</v>
      </c>
      <c r="S60" s="18" t="s">
        <v>169</v>
      </c>
    </row>
    <row r="61" spans="1:19" ht="36" customHeight="1">
      <c r="A61" s="17" t="s">
        <v>254</v>
      </c>
      <c r="B61" s="17" t="s">
        <v>151</v>
      </c>
      <c r="C61" s="17" t="s">
        <v>187</v>
      </c>
      <c r="D61" s="17" t="s">
        <v>202</v>
      </c>
      <c r="E61" s="18" t="s">
        <v>34</v>
      </c>
      <c r="F61" s="17" t="s">
        <v>171</v>
      </c>
      <c r="G61" s="17" t="s">
        <v>165</v>
      </c>
      <c r="H61" s="19">
        <f t="shared" si="6"/>
        <v>1</v>
      </c>
      <c r="I61" s="17" t="s">
        <v>255</v>
      </c>
      <c r="J61" s="19">
        <f t="shared" si="7"/>
        <v>2</v>
      </c>
      <c r="K61" s="18" t="s">
        <v>157</v>
      </c>
      <c r="L61" s="18" t="s">
        <v>28</v>
      </c>
      <c r="M61" s="20"/>
      <c r="N61" s="20"/>
      <c r="O61" s="21" t="s">
        <v>167</v>
      </c>
      <c r="P61" s="18" t="s">
        <v>253</v>
      </c>
      <c r="Q61" s="18" t="s">
        <v>159</v>
      </c>
      <c r="R61" s="18" t="s">
        <v>160</v>
      </c>
      <c r="S61" s="18" t="s">
        <v>169</v>
      </c>
    </row>
    <row r="62" spans="1:19" ht="27" customHeight="1">
      <c r="A62" s="17" t="s">
        <v>256</v>
      </c>
      <c r="B62" s="17" t="s">
        <v>151</v>
      </c>
      <c r="C62" s="17" t="s">
        <v>187</v>
      </c>
      <c r="D62" s="17" t="s">
        <v>214</v>
      </c>
      <c r="E62" s="18" t="s">
        <v>23</v>
      </c>
      <c r="F62" s="17" t="s">
        <v>154</v>
      </c>
      <c r="G62" s="17" t="s">
        <v>188</v>
      </c>
      <c r="H62" s="19">
        <f t="shared" ref="H62:H93" si="8">IF(LEN(G62)=0,"",IF(ISNUMBER(SEARCH(",",G62)),LEN(SUBSTITUTE(G62,",","xx"))-LEN(G62)+1,1))</f>
        <v>9</v>
      </c>
      <c r="I62" s="17" t="s">
        <v>257</v>
      </c>
      <c r="J62" s="19">
        <f t="shared" ref="J62:J93" si="9">IF(LEN(I62)=0,"",IF(ISNUMBER(SEARCH(",",I62)),LEN(SUBSTITUTE(I62,",","xx"))-LEN(I62)+1,1))</f>
        <v>15</v>
      </c>
      <c r="K62" s="18" t="s">
        <v>157</v>
      </c>
      <c r="L62" s="18" t="s">
        <v>28</v>
      </c>
      <c r="M62" s="20"/>
      <c r="N62" s="20"/>
      <c r="O62" s="21" t="s">
        <v>190</v>
      </c>
      <c r="P62" s="18" t="s">
        <v>258</v>
      </c>
      <c r="Q62" s="18" t="s">
        <v>159</v>
      </c>
      <c r="R62" s="18" t="s">
        <v>160</v>
      </c>
      <c r="S62" s="18" t="s">
        <v>192</v>
      </c>
    </row>
    <row r="63" spans="1:19" ht="27" customHeight="1">
      <c r="A63" s="17" t="s">
        <v>259</v>
      </c>
      <c r="B63" s="17" t="s">
        <v>151</v>
      </c>
      <c r="C63" s="17" t="s">
        <v>187</v>
      </c>
      <c r="D63" s="17" t="s">
        <v>214</v>
      </c>
      <c r="E63" s="18" t="s">
        <v>81</v>
      </c>
      <c r="F63" s="17" t="s">
        <v>82</v>
      </c>
      <c r="G63" s="17" t="s">
        <v>188</v>
      </c>
      <c r="H63" s="19">
        <f t="shared" si="8"/>
        <v>9</v>
      </c>
      <c r="I63" s="17" t="s">
        <v>260</v>
      </c>
      <c r="J63" s="19">
        <f t="shared" si="9"/>
        <v>3</v>
      </c>
      <c r="K63" s="18" t="s">
        <v>157</v>
      </c>
      <c r="L63" s="18" t="s">
        <v>28</v>
      </c>
      <c r="M63" s="20"/>
      <c r="N63" s="20"/>
      <c r="O63" s="21" t="s">
        <v>190</v>
      </c>
      <c r="P63" s="18" t="s">
        <v>258</v>
      </c>
      <c r="Q63" s="18" t="s">
        <v>159</v>
      </c>
      <c r="R63" s="18" t="s">
        <v>160</v>
      </c>
      <c r="S63" s="18" t="s">
        <v>192</v>
      </c>
    </row>
    <row r="64" spans="1:19" ht="36" customHeight="1">
      <c r="A64" s="17" t="s">
        <v>261</v>
      </c>
      <c r="B64" s="17" t="s">
        <v>151</v>
      </c>
      <c r="C64" s="17" t="s">
        <v>187</v>
      </c>
      <c r="D64" s="17" t="s">
        <v>214</v>
      </c>
      <c r="E64" s="18" t="s">
        <v>34</v>
      </c>
      <c r="F64" s="17" t="s">
        <v>164</v>
      </c>
      <c r="G64" s="17" t="s">
        <v>196</v>
      </c>
      <c r="H64" s="19">
        <f t="shared" si="8"/>
        <v>1</v>
      </c>
      <c r="I64" s="17" t="s">
        <v>262</v>
      </c>
      <c r="J64" s="19">
        <f t="shared" si="9"/>
        <v>2</v>
      </c>
      <c r="K64" s="18" t="s">
        <v>157</v>
      </c>
      <c r="L64" s="18" t="s">
        <v>28</v>
      </c>
      <c r="M64" s="20"/>
      <c r="N64" s="20"/>
      <c r="O64" s="21" t="s">
        <v>167</v>
      </c>
      <c r="P64" s="18" t="s">
        <v>263</v>
      </c>
      <c r="Q64" s="18" t="s">
        <v>159</v>
      </c>
      <c r="R64" s="18" t="s">
        <v>160</v>
      </c>
      <c r="S64" s="18" t="s">
        <v>169</v>
      </c>
    </row>
    <row r="65" spans="1:19" ht="36" customHeight="1">
      <c r="A65" s="17" t="s">
        <v>264</v>
      </c>
      <c r="B65" s="17" t="s">
        <v>151</v>
      </c>
      <c r="C65" s="17" t="s">
        <v>187</v>
      </c>
      <c r="D65" s="17" t="s">
        <v>214</v>
      </c>
      <c r="E65" s="18" t="s">
        <v>34</v>
      </c>
      <c r="F65" s="17" t="s">
        <v>171</v>
      </c>
      <c r="G65" s="17" t="s">
        <v>196</v>
      </c>
      <c r="H65" s="19">
        <f t="shared" si="8"/>
        <v>1</v>
      </c>
      <c r="I65" s="17" t="s">
        <v>36</v>
      </c>
      <c r="J65" s="19">
        <f t="shared" si="9"/>
        <v>2</v>
      </c>
      <c r="K65" s="18" t="s">
        <v>157</v>
      </c>
      <c r="L65" s="18" t="s">
        <v>28</v>
      </c>
      <c r="M65" s="20"/>
      <c r="N65" s="20"/>
      <c r="O65" s="21" t="s">
        <v>167</v>
      </c>
      <c r="P65" s="18" t="s">
        <v>263</v>
      </c>
      <c r="Q65" s="18" t="s">
        <v>159</v>
      </c>
      <c r="R65" s="18" t="s">
        <v>160</v>
      </c>
      <c r="S65" s="18" t="s">
        <v>169</v>
      </c>
    </row>
    <row r="66" spans="1:19" ht="36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3" t="s">
        <v>23</v>
      </c>
      <c r="F66" s="2" t="s">
        <v>269</v>
      </c>
      <c r="G66" s="2" t="s">
        <v>270</v>
      </c>
      <c r="H66" s="4">
        <f t="shared" si="8"/>
        <v>6</v>
      </c>
      <c r="I66" s="2" t="s">
        <v>271</v>
      </c>
      <c r="J66" s="4">
        <f t="shared" si="9"/>
        <v>5</v>
      </c>
      <c r="K66" s="3" t="s">
        <v>64</v>
      </c>
      <c r="L66" s="3" t="s">
        <v>28</v>
      </c>
      <c r="M66" s="15"/>
      <c r="N66" s="15"/>
      <c r="O66" s="16" t="s">
        <v>190</v>
      </c>
      <c r="P66" s="3" t="s">
        <v>272</v>
      </c>
      <c r="Q66" s="3" t="s">
        <v>159</v>
      </c>
      <c r="R66" s="3" t="s">
        <v>160</v>
      </c>
      <c r="S66" s="3" t="s">
        <v>192</v>
      </c>
    </row>
    <row r="67" spans="1:19" ht="36" customHeight="1">
      <c r="A67" s="7" t="s">
        <v>273</v>
      </c>
      <c r="B67" s="7" t="s">
        <v>266</v>
      </c>
      <c r="C67" s="7" t="s">
        <v>274</v>
      </c>
      <c r="D67" s="7" t="s">
        <v>268</v>
      </c>
      <c r="E67" s="8" t="s">
        <v>23</v>
      </c>
      <c r="F67" s="7" t="s">
        <v>269</v>
      </c>
      <c r="G67" s="7" t="s">
        <v>188</v>
      </c>
      <c r="H67" s="9">
        <f t="shared" si="8"/>
        <v>9</v>
      </c>
      <c r="I67" s="7" t="s">
        <v>275</v>
      </c>
      <c r="J67" s="9">
        <f t="shared" si="9"/>
        <v>5</v>
      </c>
      <c r="K67" s="8" t="s">
        <v>64</v>
      </c>
      <c r="L67" s="8" t="s">
        <v>28</v>
      </c>
      <c r="M67" s="20"/>
      <c r="N67" s="20"/>
      <c r="O67" s="21" t="s">
        <v>190</v>
      </c>
      <c r="P67" s="8" t="s">
        <v>276</v>
      </c>
      <c r="Q67" s="8" t="s">
        <v>159</v>
      </c>
      <c r="R67" s="8" t="s">
        <v>160</v>
      </c>
      <c r="S67" s="8" t="s">
        <v>192</v>
      </c>
    </row>
    <row r="68" spans="1:19" ht="36" customHeight="1">
      <c r="A68" s="12" t="s">
        <v>277</v>
      </c>
      <c r="B68" s="12" t="s">
        <v>278</v>
      </c>
      <c r="C68" s="29" t="s">
        <v>279</v>
      </c>
      <c r="D68" s="12" t="s">
        <v>280</v>
      </c>
      <c r="E68" s="13" t="s">
        <v>23</v>
      </c>
      <c r="F68" s="12" t="s">
        <v>132</v>
      </c>
      <c r="G68" s="12" t="s">
        <v>281</v>
      </c>
      <c r="H68" s="14">
        <f t="shared" si="8"/>
        <v>5</v>
      </c>
      <c r="I68" s="12" t="s">
        <v>282</v>
      </c>
      <c r="J68" s="14">
        <f t="shared" si="9"/>
        <v>4</v>
      </c>
      <c r="K68" s="13" t="s">
        <v>283</v>
      </c>
      <c r="L68" s="13" t="s">
        <v>28</v>
      </c>
      <c r="M68" s="25">
        <v>0</v>
      </c>
      <c r="N68" s="25">
        <v>1</v>
      </c>
      <c r="O68" s="26" t="str">
        <f t="shared" ref="O68:O75" si="10">IF(AND(N68&lt;0.05,OR(AND(L68="升高改善",M68&gt;0),AND(L68="降低改善",M68&lt;0))),"校正","不校正")</f>
        <v>不校正</v>
      </c>
      <c r="P68" s="13" t="s">
        <v>284</v>
      </c>
      <c r="Q68" s="13" t="s">
        <v>159</v>
      </c>
      <c r="R68" s="13" t="s">
        <v>160</v>
      </c>
      <c r="S68" s="13"/>
    </row>
    <row r="69" spans="1:19" ht="36" customHeight="1">
      <c r="A69" s="17" t="s">
        <v>285</v>
      </c>
      <c r="B69" s="17" t="s">
        <v>278</v>
      </c>
      <c r="C69" s="30" t="s">
        <v>279</v>
      </c>
      <c r="D69" s="17" t="s">
        <v>280</v>
      </c>
      <c r="E69" s="18" t="s">
        <v>81</v>
      </c>
      <c r="F69" s="17" t="s">
        <v>82</v>
      </c>
      <c r="G69" s="17" t="s">
        <v>281</v>
      </c>
      <c r="H69" s="19">
        <f t="shared" si="8"/>
        <v>5</v>
      </c>
      <c r="I69" s="17" t="s">
        <v>286</v>
      </c>
      <c r="J69" s="19">
        <f t="shared" si="9"/>
        <v>1</v>
      </c>
      <c r="K69" s="18" t="s">
        <v>283</v>
      </c>
      <c r="L69" s="18" t="s">
        <v>28</v>
      </c>
      <c r="M69" s="27">
        <v>0</v>
      </c>
      <c r="N69" s="27">
        <v>1</v>
      </c>
      <c r="O69" s="28" t="str">
        <f t="shared" si="10"/>
        <v>不校正</v>
      </c>
      <c r="P69" s="18" t="s">
        <v>287</v>
      </c>
      <c r="Q69" s="18" t="s">
        <v>159</v>
      </c>
      <c r="R69" s="18" t="s">
        <v>160</v>
      </c>
      <c r="S69" s="18"/>
    </row>
    <row r="70" spans="1:19" ht="36" customHeight="1">
      <c r="A70" s="17" t="s">
        <v>288</v>
      </c>
      <c r="B70" s="17" t="s">
        <v>278</v>
      </c>
      <c r="C70" s="30" t="s">
        <v>289</v>
      </c>
      <c r="D70" s="17" t="s">
        <v>280</v>
      </c>
      <c r="E70" s="18" t="s">
        <v>23</v>
      </c>
      <c r="F70" s="17" t="s">
        <v>132</v>
      </c>
      <c r="G70" s="17" t="s">
        <v>290</v>
      </c>
      <c r="H70" s="19">
        <f t="shared" si="8"/>
        <v>9</v>
      </c>
      <c r="I70" s="17" t="s">
        <v>291</v>
      </c>
      <c r="J70" s="19">
        <f t="shared" si="9"/>
        <v>8</v>
      </c>
      <c r="K70" s="18" t="s">
        <v>283</v>
      </c>
      <c r="L70" s="18" t="s">
        <v>28</v>
      </c>
      <c r="M70" s="27">
        <v>-0.71183212967869891</v>
      </c>
      <c r="N70" s="27">
        <v>1.1251849973631512E-2</v>
      </c>
      <c r="O70" s="28" t="str">
        <f t="shared" si="10"/>
        <v>不校正</v>
      </c>
      <c r="P70" s="18" t="s">
        <v>292</v>
      </c>
      <c r="Q70" s="18" t="s">
        <v>159</v>
      </c>
      <c r="R70" s="18" t="s">
        <v>160</v>
      </c>
      <c r="S70" s="18"/>
    </row>
    <row r="71" spans="1:19" ht="36" customHeight="1">
      <c r="A71" s="17" t="s">
        <v>293</v>
      </c>
      <c r="B71" s="17" t="s">
        <v>278</v>
      </c>
      <c r="C71" s="30" t="s">
        <v>289</v>
      </c>
      <c r="D71" s="17" t="s">
        <v>280</v>
      </c>
      <c r="E71" s="18" t="s">
        <v>81</v>
      </c>
      <c r="F71" s="17" t="s">
        <v>82</v>
      </c>
      <c r="G71" s="17" t="s">
        <v>290</v>
      </c>
      <c r="H71" s="19">
        <f t="shared" si="8"/>
        <v>9</v>
      </c>
      <c r="I71" s="17" t="s">
        <v>200</v>
      </c>
      <c r="J71" s="19">
        <f t="shared" si="9"/>
        <v>1</v>
      </c>
      <c r="K71" s="18" t="s">
        <v>283</v>
      </c>
      <c r="L71" s="18" t="s">
        <v>28</v>
      </c>
      <c r="M71" s="27">
        <v>-0.71183212967869891</v>
      </c>
      <c r="N71" s="27">
        <v>1.1251849973631512E-2</v>
      </c>
      <c r="O71" s="28" t="str">
        <f t="shared" si="10"/>
        <v>不校正</v>
      </c>
      <c r="P71" s="18" t="s">
        <v>294</v>
      </c>
      <c r="Q71" s="18" t="s">
        <v>159</v>
      </c>
      <c r="R71" s="18" t="s">
        <v>160</v>
      </c>
      <c r="S71" s="18"/>
    </row>
    <row r="72" spans="1:19" ht="36" customHeight="1">
      <c r="A72" s="17" t="s">
        <v>295</v>
      </c>
      <c r="B72" s="17" t="s">
        <v>278</v>
      </c>
      <c r="C72" s="30" t="s">
        <v>296</v>
      </c>
      <c r="D72" s="17" t="s">
        <v>280</v>
      </c>
      <c r="E72" s="18" t="s">
        <v>23</v>
      </c>
      <c r="F72" s="17" t="s">
        <v>132</v>
      </c>
      <c r="G72" s="17" t="s">
        <v>297</v>
      </c>
      <c r="H72" s="19">
        <f t="shared" si="8"/>
        <v>16</v>
      </c>
      <c r="I72" s="17" t="s">
        <v>298</v>
      </c>
      <c r="J72" s="19">
        <f t="shared" si="9"/>
        <v>6</v>
      </c>
      <c r="K72" s="18" t="s">
        <v>283</v>
      </c>
      <c r="L72" s="18" t="s">
        <v>28</v>
      </c>
      <c r="M72" s="27">
        <v>1.7733172553297715E-2</v>
      </c>
      <c r="N72" s="27">
        <v>0.92690929436179237</v>
      </c>
      <c r="O72" s="28" t="str">
        <f t="shared" si="10"/>
        <v>不校正</v>
      </c>
      <c r="P72" s="18" t="s">
        <v>299</v>
      </c>
      <c r="Q72" s="18" t="s">
        <v>159</v>
      </c>
      <c r="R72" s="18" t="s">
        <v>160</v>
      </c>
      <c r="S72" s="18"/>
    </row>
    <row r="73" spans="1:19" ht="36" customHeight="1">
      <c r="A73" s="17" t="s">
        <v>300</v>
      </c>
      <c r="B73" s="17" t="s">
        <v>278</v>
      </c>
      <c r="C73" s="30" t="s">
        <v>296</v>
      </c>
      <c r="D73" s="17" t="s">
        <v>280</v>
      </c>
      <c r="E73" s="18" t="s">
        <v>81</v>
      </c>
      <c r="F73" s="17" t="s">
        <v>82</v>
      </c>
      <c r="G73" s="17" t="s">
        <v>297</v>
      </c>
      <c r="H73" s="19">
        <f t="shared" si="8"/>
        <v>16</v>
      </c>
      <c r="I73" s="17" t="s">
        <v>301</v>
      </c>
      <c r="J73" s="19">
        <f t="shared" si="9"/>
        <v>1</v>
      </c>
      <c r="K73" s="18" t="s">
        <v>283</v>
      </c>
      <c r="L73" s="18" t="s">
        <v>28</v>
      </c>
      <c r="M73" s="27">
        <v>1.7733172553297715E-2</v>
      </c>
      <c r="N73" s="27">
        <v>0.92690929436179237</v>
      </c>
      <c r="O73" s="28" t="str">
        <f t="shared" si="10"/>
        <v>不校正</v>
      </c>
      <c r="P73" s="18" t="s">
        <v>302</v>
      </c>
      <c r="Q73" s="18" t="s">
        <v>159</v>
      </c>
      <c r="R73" s="18" t="s">
        <v>160</v>
      </c>
      <c r="S73" s="18"/>
    </row>
    <row r="74" spans="1:19" ht="36" customHeight="1">
      <c r="A74" s="2" t="s">
        <v>303</v>
      </c>
      <c r="B74" s="2" t="s">
        <v>304</v>
      </c>
      <c r="C74" s="2" t="s">
        <v>305</v>
      </c>
      <c r="D74" s="2" t="s">
        <v>306</v>
      </c>
      <c r="E74" s="3" t="s">
        <v>23</v>
      </c>
      <c r="F74" s="2" t="s">
        <v>307</v>
      </c>
      <c r="G74" s="2" t="s">
        <v>308</v>
      </c>
      <c r="H74" s="4">
        <f t="shared" si="8"/>
        <v>5</v>
      </c>
      <c r="I74" s="2" t="s">
        <v>309</v>
      </c>
      <c r="J74" s="4">
        <f t="shared" si="9"/>
        <v>12</v>
      </c>
      <c r="K74" s="3" t="s">
        <v>64</v>
      </c>
      <c r="L74" s="3" t="s">
        <v>28</v>
      </c>
      <c r="M74" s="5">
        <v>0.10540925533894598</v>
      </c>
      <c r="N74" s="5">
        <v>0.80054210742312626</v>
      </c>
      <c r="O74" s="6" t="str">
        <f t="shared" si="10"/>
        <v>不校正</v>
      </c>
      <c r="P74" s="3" t="s">
        <v>310</v>
      </c>
      <c r="Q74" s="3" t="s">
        <v>159</v>
      </c>
      <c r="R74" s="3" t="s">
        <v>160</v>
      </c>
      <c r="S74" s="3"/>
    </row>
    <row r="75" spans="1:19" ht="36" customHeight="1">
      <c r="A75" s="7" t="s">
        <v>311</v>
      </c>
      <c r="B75" s="7" t="s">
        <v>304</v>
      </c>
      <c r="C75" s="7" t="s">
        <v>305</v>
      </c>
      <c r="D75" s="7" t="s">
        <v>312</v>
      </c>
      <c r="E75" s="8" t="s">
        <v>23</v>
      </c>
      <c r="F75" s="7" t="s">
        <v>307</v>
      </c>
      <c r="G75" s="7" t="s">
        <v>313</v>
      </c>
      <c r="H75" s="9">
        <f t="shared" si="8"/>
        <v>5</v>
      </c>
      <c r="I75" s="7" t="s">
        <v>314</v>
      </c>
      <c r="J75" s="9">
        <f t="shared" si="9"/>
        <v>12</v>
      </c>
      <c r="K75" s="8" t="s">
        <v>64</v>
      </c>
      <c r="L75" s="8" t="s">
        <v>28</v>
      </c>
      <c r="M75" s="10">
        <v>-0.2</v>
      </c>
      <c r="N75" s="10">
        <v>0.62420611476640608</v>
      </c>
      <c r="O75" s="11" t="str">
        <f t="shared" si="10"/>
        <v>不校正</v>
      </c>
      <c r="P75" s="8" t="s">
        <v>315</v>
      </c>
      <c r="Q75" s="8" t="s">
        <v>159</v>
      </c>
      <c r="R75" s="8" t="s">
        <v>160</v>
      </c>
      <c r="S75" s="8"/>
    </row>
    <row r="76" spans="1:19" ht="36" customHeight="1">
      <c r="A76" s="7" t="s">
        <v>316</v>
      </c>
      <c r="B76" s="7" t="s">
        <v>304</v>
      </c>
      <c r="C76" s="7" t="s">
        <v>305</v>
      </c>
      <c r="D76" s="7" t="s">
        <v>317</v>
      </c>
      <c r="E76" s="8" t="s">
        <v>34</v>
      </c>
      <c r="F76" s="7" t="s">
        <v>307</v>
      </c>
      <c r="G76" s="7" t="s">
        <v>196</v>
      </c>
      <c r="H76" s="9">
        <f t="shared" si="8"/>
        <v>1</v>
      </c>
      <c r="I76" s="7" t="s">
        <v>318</v>
      </c>
      <c r="J76" s="9">
        <f t="shared" si="9"/>
        <v>5</v>
      </c>
      <c r="K76" s="8" t="s">
        <v>64</v>
      </c>
      <c r="L76" s="8" t="s">
        <v>28</v>
      </c>
      <c r="M76" s="20"/>
      <c r="N76" s="20"/>
      <c r="O76" s="21" t="s">
        <v>167</v>
      </c>
      <c r="P76" s="8" t="s">
        <v>319</v>
      </c>
      <c r="Q76" s="8" t="s">
        <v>159</v>
      </c>
      <c r="R76" s="8" t="s">
        <v>160</v>
      </c>
      <c r="S76" s="8" t="s">
        <v>169</v>
      </c>
    </row>
    <row r="77" spans="1:19" ht="36" customHeight="1">
      <c r="A77" s="7" t="s">
        <v>320</v>
      </c>
      <c r="B77" s="7" t="s">
        <v>304</v>
      </c>
      <c r="C77" s="7" t="s">
        <v>305</v>
      </c>
      <c r="D77" s="7" t="s">
        <v>317</v>
      </c>
      <c r="E77" s="8" t="s">
        <v>23</v>
      </c>
      <c r="F77" s="7" t="s">
        <v>321</v>
      </c>
      <c r="G77" s="7" t="s">
        <v>196</v>
      </c>
      <c r="H77" s="9">
        <f t="shared" si="8"/>
        <v>1</v>
      </c>
      <c r="I77" s="7" t="s">
        <v>322</v>
      </c>
      <c r="J77" s="9">
        <f t="shared" si="9"/>
        <v>5</v>
      </c>
      <c r="K77" s="8" t="s">
        <v>64</v>
      </c>
      <c r="L77" s="8" t="s">
        <v>28</v>
      </c>
      <c r="M77" s="20"/>
      <c r="N77" s="20"/>
      <c r="O77" s="21" t="s">
        <v>167</v>
      </c>
      <c r="P77" s="8" t="s">
        <v>319</v>
      </c>
      <c r="Q77" s="8" t="s">
        <v>159</v>
      </c>
      <c r="R77" s="8" t="s">
        <v>160</v>
      </c>
      <c r="S77" s="8" t="s">
        <v>169</v>
      </c>
    </row>
    <row r="78" spans="1:19" ht="36" customHeight="1">
      <c r="A78" s="12" t="s">
        <v>323</v>
      </c>
      <c r="B78" s="12" t="s">
        <v>324</v>
      </c>
      <c r="C78" s="12" t="s">
        <v>325</v>
      </c>
      <c r="D78" s="12" t="s">
        <v>326</v>
      </c>
      <c r="E78" s="13" t="s">
        <v>23</v>
      </c>
      <c r="F78" s="12" t="s">
        <v>327</v>
      </c>
      <c r="G78" s="12" t="s">
        <v>328</v>
      </c>
      <c r="H78" s="14">
        <f t="shared" si="8"/>
        <v>3</v>
      </c>
      <c r="I78" s="12" t="s">
        <v>329</v>
      </c>
      <c r="J78" s="14">
        <f t="shared" si="9"/>
        <v>10</v>
      </c>
      <c r="K78" s="13" t="s">
        <v>64</v>
      </c>
      <c r="L78" s="13" t="s">
        <v>28</v>
      </c>
      <c r="M78" s="15"/>
      <c r="N78" s="15"/>
      <c r="O78" s="16" t="s">
        <v>190</v>
      </c>
      <c r="P78" s="13" t="s">
        <v>330</v>
      </c>
      <c r="Q78" s="13" t="s">
        <v>159</v>
      </c>
      <c r="R78" s="13" t="s">
        <v>160</v>
      </c>
      <c r="S78" s="13" t="s">
        <v>192</v>
      </c>
    </row>
    <row r="79" spans="1:19" ht="36" customHeight="1">
      <c r="A79" s="17" t="s">
        <v>331</v>
      </c>
      <c r="B79" s="17" t="s">
        <v>324</v>
      </c>
      <c r="C79" s="17" t="s">
        <v>325</v>
      </c>
      <c r="D79" s="17" t="s">
        <v>326</v>
      </c>
      <c r="E79" s="18" t="s">
        <v>81</v>
      </c>
      <c r="F79" s="17" t="s">
        <v>82</v>
      </c>
      <c r="G79" s="22"/>
      <c r="H79" s="23"/>
      <c r="I79" s="22"/>
      <c r="J79" s="23"/>
      <c r="K79" s="18" t="s">
        <v>64</v>
      </c>
      <c r="L79" s="18" t="s">
        <v>28</v>
      </c>
      <c r="M79" s="20"/>
      <c r="N79" s="20"/>
      <c r="O79" s="21"/>
      <c r="P79" s="18" t="s">
        <v>330</v>
      </c>
      <c r="Q79" s="18" t="s">
        <v>159</v>
      </c>
      <c r="R79" s="24" t="s">
        <v>94</v>
      </c>
      <c r="S79" s="18" t="s">
        <v>332</v>
      </c>
    </row>
    <row r="80" spans="1:19" ht="27" customHeight="1">
      <c r="A80" s="17" t="s">
        <v>333</v>
      </c>
      <c r="B80" s="17" t="s">
        <v>324</v>
      </c>
      <c r="C80" s="17" t="s">
        <v>334</v>
      </c>
      <c r="D80" s="17" t="s">
        <v>326</v>
      </c>
      <c r="E80" s="18" t="s">
        <v>23</v>
      </c>
      <c r="F80" s="17" t="s">
        <v>327</v>
      </c>
      <c r="G80" s="17" t="s">
        <v>335</v>
      </c>
      <c r="H80" s="19">
        <f>IF(LEN(G80)=0,"",IF(ISNUMBER(SEARCH(",",G80)),LEN(SUBSTITUTE(G80,",","xx"))-LEN(G80)+1,1))</f>
        <v>4</v>
      </c>
      <c r="I80" s="17" t="s">
        <v>336</v>
      </c>
      <c r="J80" s="19">
        <f>IF(LEN(I80)=0,"",IF(ISNUMBER(SEARCH(",",I80)),LEN(SUBSTITUTE(I80,",","xx"))-LEN(I80)+1,1))</f>
        <v>8</v>
      </c>
      <c r="K80" s="18" t="s">
        <v>64</v>
      </c>
      <c r="L80" s="18" t="s">
        <v>28</v>
      </c>
      <c r="M80" s="20"/>
      <c r="N80" s="20"/>
      <c r="O80" s="21" t="s">
        <v>190</v>
      </c>
      <c r="P80" s="18" t="s">
        <v>337</v>
      </c>
      <c r="Q80" s="18" t="s">
        <v>159</v>
      </c>
      <c r="R80" s="18" t="s">
        <v>160</v>
      </c>
      <c r="S80" s="18" t="s">
        <v>192</v>
      </c>
    </row>
    <row r="81" spans="1:19" ht="27" customHeight="1">
      <c r="A81" s="17" t="s">
        <v>338</v>
      </c>
      <c r="B81" s="17" t="s">
        <v>324</v>
      </c>
      <c r="C81" s="17" t="s">
        <v>334</v>
      </c>
      <c r="D81" s="17" t="s">
        <v>326</v>
      </c>
      <c r="E81" s="18" t="s">
        <v>81</v>
      </c>
      <c r="F81" s="17" t="s">
        <v>82</v>
      </c>
      <c r="G81" s="17" t="s">
        <v>335</v>
      </c>
      <c r="H81" s="19">
        <f>IF(LEN(G81)=0,"",IF(ISNUMBER(SEARCH(",",G81)),LEN(SUBSTITUTE(G81,",","xx"))-LEN(G81)+1,1))</f>
        <v>4</v>
      </c>
      <c r="I81" s="17" t="s">
        <v>339</v>
      </c>
      <c r="J81" s="19">
        <f>IF(LEN(I81)=0,"",IF(ISNUMBER(SEARCH(",",I81)),LEN(SUBSTITUTE(I81,",","xx"))-LEN(I81)+1,1))</f>
        <v>2</v>
      </c>
      <c r="K81" s="18" t="s">
        <v>64</v>
      </c>
      <c r="L81" s="18" t="s">
        <v>28</v>
      </c>
      <c r="M81" s="20"/>
      <c r="N81" s="20"/>
      <c r="O81" s="21" t="s">
        <v>190</v>
      </c>
      <c r="P81" s="18" t="s">
        <v>337</v>
      </c>
      <c r="Q81" s="18" t="s">
        <v>159</v>
      </c>
      <c r="R81" s="18" t="s">
        <v>160</v>
      </c>
      <c r="S81" s="18" t="s">
        <v>192</v>
      </c>
    </row>
    <row r="82" spans="1:19" ht="36" customHeight="1">
      <c r="A82" s="17" t="s">
        <v>340</v>
      </c>
      <c r="B82" s="17" t="s">
        <v>324</v>
      </c>
      <c r="C82" s="17" t="s">
        <v>341</v>
      </c>
      <c r="D82" s="17" t="s">
        <v>326</v>
      </c>
      <c r="E82" s="18" t="s">
        <v>23</v>
      </c>
      <c r="F82" s="17" t="s">
        <v>327</v>
      </c>
      <c r="G82" s="22"/>
      <c r="H82" s="23"/>
      <c r="I82" s="22"/>
      <c r="J82" s="23"/>
      <c r="K82" s="18" t="s">
        <v>64</v>
      </c>
      <c r="L82" s="18" t="s">
        <v>28</v>
      </c>
      <c r="M82" s="20"/>
      <c r="N82" s="20"/>
      <c r="O82" s="21"/>
      <c r="P82" s="18" t="s">
        <v>342</v>
      </c>
      <c r="Q82" s="18" t="s">
        <v>159</v>
      </c>
      <c r="R82" s="24" t="s">
        <v>94</v>
      </c>
      <c r="S82" s="18" t="s">
        <v>343</v>
      </c>
    </row>
    <row r="83" spans="1:19" ht="36" customHeight="1">
      <c r="A83" s="17" t="s">
        <v>344</v>
      </c>
      <c r="B83" s="17" t="s">
        <v>324</v>
      </c>
      <c r="C83" s="17" t="s">
        <v>341</v>
      </c>
      <c r="D83" s="17" t="s">
        <v>326</v>
      </c>
      <c r="E83" s="18" t="s">
        <v>81</v>
      </c>
      <c r="F83" s="17" t="s">
        <v>82</v>
      </c>
      <c r="G83" s="22"/>
      <c r="H83" s="23"/>
      <c r="I83" s="22"/>
      <c r="J83" s="23"/>
      <c r="K83" s="18" t="s">
        <v>64</v>
      </c>
      <c r="L83" s="18" t="s">
        <v>28</v>
      </c>
      <c r="M83" s="20"/>
      <c r="N83" s="20"/>
      <c r="O83" s="21"/>
      <c r="P83" s="18" t="s">
        <v>342</v>
      </c>
      <c r="Q83" s="18" t="s">
        <v>159</v>
      </c>
      <c r="R83" s="24" t="s">
        <v>94</v>
      </c>
      <c r="S83" s="18" t="s">
        <v>345</v>
      </c>
    </row>
    <row r="84" spans="1:19" ht="27" customHeight="1">
      <c r="A84" s="2" t="s">
        <v>346</v>
      </c>
      <c r="B84" s="2" t="s">
        <v>347</v>
      </c>
      <c r="C84" s="31" t="s">
        <v>348</v>
      </c>
      <c r="D84" s="2" t="s">
        <v>349</v>
      </c>
      <c r="E84" s="3" t="s">
        <v>23</v>
      </c>
      <c r="F84" s="2" t="s">
        <v>350</v>
      </c>
      <c r="G84" s="2" t="s">
        <v>351</v>
      </c>
      <c r="H84" s="4">
        <f t="shared" ref="H84:H115" si="11">IF(LEN(G84)=0,"",IF(ISNUMBER(SEARCH(",",G84)),LEN(SUBSTITUTE(G84,",","xx"))-LEN(G84)+1,1))</f>
        <v>5</v>
      </c>
      <c r="I84" s="2" t="s">
        <v>352</v>
      </c>
      <c r="J84" s="4">
        <f t="shared" ref="J84:J115" si="12">IF(LEN(I84)=0,"",IF(ISNUMBER(SEARCH(",",I84)),LEN(SUBSTITUTE(I84,",","xx"))-LEN(I84)+1,1))</f>
        <v>5</v>
      </c>
      <c r="K84" s="3" t="s">
        <v>353</v>
      </c>
      <c r="L84" s="3" t="s">
        <v>28</v>
      </c>
      <c r="M84" s="5">
        <v>0.59761430466719678</v>
      </c>
      <c r="N84" s="5">
        <v>0.16551785869747002</v>
      </c>
      <c r="O84" s="6" t="str">
        <f>IF(AND(N84&lt;0.05,OR(AND(L84="升高改善",M84&gt;0),AND(L84="降低改善",M84&lt;0))),"校正","不校正")</f>
        <v>不校正</v>
      </c>
      <c r="P84" s="3" t="s">
        <v>354</v>
      </c>
      <c r="Q84" s="3" t="s">
        <v>159</v>
      </c>
      <c r="R84" s="3" t="s">
        <v>160</v>
      </c>
      <c r="S84" s="3"/>
    </row>
    <row r="85" spans="1:19" ht="27" customHeight="1">
      <c r="A85" s="7" t="s">
        <v>355</v>
      </c>
      <c r="B85" s="7" t="s">
        <v>347</v>
      </c>
      <c r="C85" s="32" t="s">
        <v>348</v>
      </c>
      <c r="D85" s="7" t="s">
        <v>349</v>
      </c>
      <c r="E85" s="8" t="s">
        <v>23</v>
      </c>
      <c r="F85" s="7" t="s">
        <v>356</v>
      </c>
      <c r="G85" s="7" t="s">
        <v>328</v>
      </c>
      <c r="H85" s="9">
        <f t="shared" si="11"/>
        <v>3</v>
      </c>
      <c r="I85" s="7" t="s">
        <v>357</v>
      </c>
      <c r="J85" s="9">
        <f t="shared" si="12"/>
        <v>6</v>
      </c>
      <c r="K85" s="8" t="s">
        <v>353</v>
      </c>
      <c r="L85" s="8" t="s">
        <v>28</v>
      </c>
      <c r="M85" s="20"/>
      <c r="N85" s="20"/>
      <c r="O85" s="21" t="s">
        <v>190</v>
      </c>
      <c r="P85" s="8" t="s">
        <v>354</v>
      </c>
      <c r="Q85" s="8" t="s">
        <v>159</v>
      </c>
      <c r="R85" s="8" t="s">
        <v>160</v>
      </c>
      <c r="S85" s="8" t="s">
        <v>192</v>
      </c>
    </row>
    <row r="86" spans="1:19" ht="36" customHeight="1">
      <c r="A86" s="7" t="s">
        <v>358</v>
      </c>
      <c r="B86" s="7" t="s">
        <v>347</v>
      </c>
      <c r="C86" s="32" t="s">
        <v>348</v>
      </c>
      <c r="D86" s="7" t="s">
        <v>349</v>
      </c>
      <c r="E86" s="8" t="s">
        <v>81</v>
      </c>
      <c r="F86" s="7" t="s">
        <v>359</v>
      </c>
      <c r="G86" s="7" t="s">
        <v>351</v>
      </c>
      <c r="H86" s="9">
        <f t="shared" si="11"/>
        <v>5</v>
      </c>
      <c r="I86" s="7" t="s">
        <v>360</v>
      </c>
      <c r="J86" s="9">
        <f t="shared" si="12"/>
        <v>3</v>
      </c>
      <c r="K86" s="8" t="s">
        <v>353</v>
      </c>
      <c r="L86" s="8" t="s">
        <v>28</v>
      </c>
      <c r="M86" s="10">
        <v>0.59761430466719678</v>
      </c>
      <c r="N86" s="10">
        <v>0.16551785869747002</v>
      </c>
      <c r="O86" s="11" t="str">
        <f>IF(AND(N86&lt;0.05,OR(AND(L86="升高改善",M86&gt;0),AND(L86="降低改善",M86&lt;0))),"校正","不校正")</f>
        <v>不校正</v>
      </c>
      <c r="P86" s="8" t="s">
        <v>361</v>
      </c>
      <c r="Q86" s="8" t="s">
        <v>159</v>
      </c>
      <c r="R86" s="8" t="s">
        <v>160</v>
      </c>
      <c r="S86" s="8"/>
    </row>
    <row r="87" spans="1:19" ht="27" customHeight="1">
      <c r="A87" s="7" t="s">
        <v>362</v>
      </c>
      <c r="B87" s="7" t="s">
        <v>347</v>
      </c>
      <c r="C87" s="32" t="s">
        <v>348</v>
      </c>
      <c r="D87" s="7" t="s">
        <v>363</v>
      </c>
      <c r="E87" s="8" t="s">
        <v>23</v>
      </c>
      <c r="F87" s="7" t="s">
        <v>350</v>
      </c>
      <c r="G87" s="7" t="s">
        <v>281</v>
      </c>
      <c r="H87" s="9">
        <f t="shared" si="11"/>
        <v>5</v>
      </c>
      <c r="I87" s="7" t="s">
        <v>364</v>
      </c>
      <c r="J87" s="9">
        <f t="shared" si="12"/>
        <v>5</v>
      </c>
      <c r="K87" s="8" t="s">
        <v>353</v>
      </c>
      <c r="L87" s="8" t="s">
        <v>28</v>
      </c>
      <c r="M87" s="10">
        <v>0</v>
      </c>
      <c r="N87" s="10">
        <v>1</v>
      </c>
      <c r="O87" s="11" t="str">
        <f>IF(AND(N87&lt;0.05,OR(AND(L87="升高改善",M87&gt;0),AND(L87="降低改善",M87&lt;0))),"校正","不校正")</f>
        <v>不校正</v>
      </c>
      <c r="P87" s="8" t="s">
        <v>365</v>
      </c>
      <c r="Q87" s="8" t="s">
        <v>159</v>
      </c>
      <c r="R87" s="8" t="s">
        <v>160</v>
      </c>
      <c r="S87" s="8"/>
    </row>
    <row r="88" spans="1:19" ht="27" customHeight="1">
      <c r="A88" s="7" t="s">
        <v>366</v>
      </c>
      <c r="B88" s="7" t="s">
        <v>347</v>
      </c>
      <c r="C88" s="32" t="s">
        <v>348</v>
      </c>
      <c r="D88" s="7" t="s">
        <v>363</v>
      </c>
      <c r="E88" s="8" t="s">
        <v>23</v>
      </c>
      <c r="F88" s="7" t="s">
        <v>356</v>
      </c>
      <c r="G88" s="7" t="s">
        <v>328</v>
      </c>
      <c r="H88" s="9">
        <f t="shared" si="11"/>
        <v>3</v>
      </c>
      <c r="I88" s="7" t="s">
        <v>367</v>
      </c>
      <c r="J88" s="9">
        <f t="shared" si="12"/>
        <v>6</v>
      </c>
      <c r="K88" s="8" t="s">
        <v>353</v>
      </c>
      <c r="L88" s="8" t="s">
        <v>28</v>
      </c>
      <c r="M88" s="20"/>
      <c r="N88" s="20"/>
      <c r="O88" s="21" t="s">
        <v>190</v>
      </c>
      <c r="P88" s="8" t="s">
        <v>365</v>
      </c>
      <c r="Q88" s="8" t="s">
        <v>159</v>
      </c>
      <c r="R88" s="8" t="s">
        <v>160</v>
      </c>
      <c r="S88" s="8" t="s">
        <v>192</v>
      </c>
    </row>
    <row r="89" spans="1:19" ht="36" customHeight="1">
      <c r="A89" s="7" t="s">
        <v>368</v>
      </c>
      <c r="B89" s="7" t="s">
        <v>347</v>
      </c>
      <c r="C89" s="32" t="s">
        <v>348</v>
      </c>
      <c r="D89" s="7" t="s">
        <v>363</v>
      </c>
      <c r="E89" s="8" t="s">
        <v>81</v>
      </c>
      <c r="F89" s="7" t="s">
        <v>359</v>
      </c>
      <c r="G89" s="7" t="s">
        <v>281</v>
      </c>
      <c r="H89" s="9">
        <f t="shared" si="11"/>
        <v>5</v>
      </c>
      <c r="I89" s="7" t="s">
        <v>369</v>
      </c>
      <c r="J89" s="9">
        <f t="shared" si="12"/>
        <v>3</v>
      </c>
      <c r="K89" s="8" t="s">
        <v>353</v>
      </c>
      <c r="L89" s="8" t="s">
        <v>28</v>
      </c>
      <c r="M89" s="10">
        <v>0</v>
      </c>
      <c r="N89" s="10">
        <v>1</v>
      </c>
      <c r="O89" s="11" t="str">
        <f>IF(AND(N89&lt;0.05,OR(AND(L89="升高改善",M89&gt;0),AND(L89="降低改善",M89&lt;0))),"校正","不校正")</f>
        <v>不校正</v>
      </c>
      <c r="P89" s="8" t="s">
        <v>370</v>
      </c>
      <c r="Q89" s="8" t="s">
        <v>159</v>
      </c>
      <c r="R89" s="8" t="s">
        <v>160</v>
      </c>
      <c r="S89" s="8"/>
    </row>
    <row r="90" spans="1:19" ht="27" customHeight="1">
      <c r="A90" s="7" t="s">
        <v>371</v>
      </c>
      <c r="B90" s="7" t="s">
        <v>347</v>
      </c>
      <c r="C90" s="32" t="s">
        <v>348</v>
      </c>
      <c r="D90" s="7" t="s">
        <v>372</v>
      </c>
      <c r="E90" s="8" t="s">
        <v>23</v>
      </c>
      <c r="F90" s="7" t="s">
        <v>350</v>
      </c>
      <c r="G90" s="7" t="s">
        <v>373</v>
      </c>
      <c r="H90" s="9">
        <f t="shared" si="11"/>
        <v>5</v>
      </c>
      <c r="I90" s="7" t="s">
        <v>374</v>
      </c>
      <c r="J90" s="9">
        <f t="shared" si="12"/>
        <v>5</v>
      </c>
      <c r="K90" s="8" t="s">
        <v>353</v>
      </c>
      <c r="L90" s="8" t="s">
        <v>101</v>
      </c>
      <c r="M90" s="10">
        <v>0</v>
      </c>
      <c r="N90" s="10">
        <v>1</v>
      </c>
      <c r="O90" s="11" t="str">
        <f>IF(AND(N90&lt;0.05,OR(AND(L90="升高改善",M90&gt;0),AND(L90="降低改善",M90&lt;0))),"校正","不校正")</f>
        <v>不校正</v>
      </c>
      <c r="P90" s="8" t="s">
        <v>375</v>
      </c>
      <c r="Q90" s="8" t="s">
        <v>159</v>
      </c>
      <c r="R90" s="8" t="s">
        <v>160</v>
      </c>
      <c r="S90" s="8"/>
    </row>
    <row r="91" spans="1:19" ht="27" customHeight="1">
      <c r="A91" s="7" t="s">
        <v>376</v>
      </c>
      <c r="B91" s="7" t="s">
        <v>347</v>
      </c>
      <c r="C91" s="32" t="s">
        <v>348</v>
      </c>
      <c r="D91" s="7" t="s">
        <v>372</v>
      </c>
      <c r="E91" s="8" t="s">
        <v>23</v>
      </c>
      <c r="F91" s="7" t="s">
        <v>356</v>
      </c>
      <c r="G91" s="7" t="s">
        <v>328</v>
      </c>
      <c r="H91" s="9">
        <f t="shared" si="11"/>
        <v>3</v>
      </c>
      <c r="I91" s="7" t="s">
        <v>377</v>
      </c>
      <c r="J91" s="9">
        <f t="shared" si="12"/>
        <v>6</v>
      </c>
      <c r="K91" s="8" t="s">
        <v>353</v>
      </c>
      <c r="L91" s="8" t="s">
        <v>101</v>
      </c>
      <c r="M91" s="20"/>
      <c r="N91" s="20"/>
      <c r="O91" s="21" t="s">
        <v>190</v>
      </c>
      <c r="P91" s="8" t="s">
        <v>375</v>
      </c>
      <c r="Q91" s="8" t="s">
        <v>159</v>
      </c>
      <c r="R91" s="8" t="s">
        <v>160</v>
      </c>
      <c r="S91" s="8" t="s">
        <v>192</v>
      </c>
    </row>
    <row r="92" spans="1:19" ht="36" customHeight="1">
      <c r="A92" s="7" t="s">
        <v>378</v>
      </c>
      <c r="B92" s="7" t="s">
        <v>347</v>
      </c>
      <c r="C92" s="32" t="s">
        <v>348</v>
      </c>
      <c r="D92" s="7" t="s">
        <v>372</v>
      </c>
      <c r="E92" s="8" t="s">
        <v>81</v>
      </c>
      <c r="F92" s="7" t="s">
        <v>359</v>
      </c>
      <c r="G92" s="7" t="s">
        <v>373</v>
      </c>
      <c r="H92" s="9">
        <f t="shared" si="11"/>
        <v>5</v>
      </c>
      <c r="I92" s="7" t="s">
        <v>379</v>
      </c>
      <c r="J92" s="9">
        <f t="shared" si="12"/>
        <v>3</v>
      </c>
      <c r="K92" s="8" t="s">
        <v>353</v>
      </c>
      <c r="L92" s="8" t="s">
        <v>101</v>
      </c>
      <c r="M92" s="10">
        <v>0</v>
      </c>
      <c r="N92" s="10">
        <v>1</v>
      </c>
      <c r="O92" s="11" t="str">
        <f>IF(AND(N92&lt;0.05,OR(AND(L92="升高改善",M92&gt;0),AND(L92="降低改善",M92&lt;0))),"校正","不校正")</f>
        <v>不校正</v>
      </c>
      <c r="P92" s="8" t="s">
        <v>380</v>
      </c>
      <c r="Q92" s="8" t="s">
        <v>159</v>
      </c>
      <c r="R92" s="8" t="s">
        <v>160</v>
      </c>
      <c r="S92" s="8"/>
    </row>
    <row r="93" spans="1:19" ht="27" customHeight="1">
      <c r="A93" s="7" t="s">
        <v>381</v>
      </c>
      <c r="B93" s="7" t="s">
        <v>347</v>
      </c>
      <c r="C93" s="32" t="s">
        <v>382</v>
      </c>
      <c r="D93" s="7" t="s">
        <v>349</v>
      </c>
      <c r="E93" s="8" t="s">
        <v>23</v>
      </c>
      <c r="F93" s="7" t="s">
        <v>350</v>
      </c>
      <c r="G93" s="7" t="s">
        <v>383</v>
      </c>
      <c r="H93" s="9">
        <f t="shared" si="11"/>
        <v>5</v>
      </c>
      <c r="I93" s="7" t="s">
        <v>384</v>
      </c>
      <c r="J93" s="9">
        <f t="shared" si="12"/>
        <v>6</v>
      </c>
      <c r="K93" s="8" t="s">
        <v>353</v>
      </c>
      <c r="L93" s="8" t="s">
        <v>28</v>
      </c>
      <c r="M93" s="10">
        <v>-0.44721359549995793</v>
      </c>
      <c r="N93" s="10">
        <v>0.29626987148428641</v>
      </c>
      <c r="O93" s="11" t="str">
        <f>IF(AND(N93&lt;0.05,OR(AND(L93="升高改善",M93&gt;0),AND(L93="降低改善",M93&lt;0))),"校正","不校正")</f>
        <v>不校正</v>
      </c>
      <c r="P93" s="8" t="s">
        <v>385</v>
      </c>
      <c r="Q93" s="8" t="s">
        <v>159</v>
      </c>
      <c r="R93" s="8" t="s">
        <v>160</v>
      </c>
      <c r="S93" s="8"/>
    </row>
    <row r="94" spans="1:19" ht="27" customHeight="1">
      <c r="A94" s="7" t="s">
        <v>386</v>
      </c>
      <c r="B94" s="7" t="s">
        <v>347</v>
      </c>
      <c r="C94" s="32" t="s">
        <v>382</v>
      </c>
      <c r="D94" s="7" t="s">
        <v>349</v>
      </c>
      <c r="E94" s="8" t="s">
        <v>23</v>
      </c>
      <c r="F94" s="7" t="s">
        <v>356</v>
      </c>
      <c r="G94" s="7" t="s">
        <v>328</v>
      </c>
      <c r="H94" s="9">
        <f t="shared" si="11"/>
        <v>3</v>
      </c>
      <c r="I94" s="7" t="s">
        <v>387</v>
      </c>
      <c r="J94" s="9">
        <f t="shared" si="12"/>
        <v>5</v>
      </c>
      <c r="K94" s="8" t="s">
        <v>353</v>
      </c>
      <c r="L94" s="8" t="s">
        <v>28</v>
      </c>
      <c r="M94" s="20"/>
      <c r="N94" s="20"/>
      <c r="O94" s="21" t="s">
        <v>190</v>
      </c>
      <c r="P94" s="8" t="s">
        <v>385</v>
      </c>
      <c r="Q94" s="8" t="s">
        <v>159</v>
      </c>
      <c r="R94" s="8" t="s">
        <v>160</v>
      </c>
      <c r="S94" s="8" t="s">
        <v>192</v>
      </c>
    </row>
    <row r="95" spans="1:19" ht="36" customHeight="1">
      <c r="A95" s="7" t="s">
        <v>388</v>
      </c>
      <c r="B95" s="7" t="s">
        <v>347</v>
      </c>
      <c r="C95" s="32" t="s">
        <v>382</v>
      </c>
      <c r="D95" s="7" t="s">
        <v>349</v>
      </c>
      <c r="E95" s="8" t="s">
        <v>81</v>
      </c>
      <c r="F95" s="7" t="s">
        <v>359</v>
      </c>
      <c r="G95" s="7" t="s">
        <v>383</v>
      </c>
      <c r="H95" s="9">
        <f t="shared" si="11"/>
        <v>5</v>
      </c>
      <c r="I95" s="7" t="s">
        <v>389</v>
      </c>
      <c r="J95" s="9">
        <f t="shared" si="12"/>
        <v>3</v>
      </c>
      <c r="K95" s="8" t="s">
        <v>353</v>
      </c>
      <c r="L95" s="8" t="s">
        <v>28</v>
      </c>
      <c r="M95" s="10">
        <v>-0.44721359549995793</v>
      </c>
      <c r="N95" s="10">
        <v>0.29626987148428641</v>
      </c>
      <c r="O95" s="11" t="str">
        <f>IF(AND(N95&lt;0.05,OR(AND(L95="升高改善",M95&gt;0),AND(L95="降低改善",M95&lt;0))),"校正","不校正")</f>
        <v>不校正</v>
      </c>
      <c r="P95" s="8" t="s">
        <v>390</v>
      </c>
      <c r="Q95" s="8" t="s">
        <v>159</v>
      </c>
      <c r="R95" s="8" t="s">
        <v>160</v>
      </c>
      <c r="S95" s="8"/>
    </row>
    <row r="96" spans="1:19" ht="27" customHeight="1">
      <c r="A96" s="7" t="s">
        <v>391</v>
      </c>
      <c r="B96" s="7" t="s">
        <v>347</v>
      </c>
      <c r="C96" s="32" t="s">
        <v>382</v>
      </c>
      <c r="D96" s="7" t="s">
        <v>363</v>
      </c>
      <c r="E96" s="8" t="s">
        <v>23</v>
      </c>
      <c r="F96" s="7" t="s">
        <v>350</v>
      </c>
      <c r="G96" s="7" t="s">
        <v>392</v>
      </c>
      <c r="H96" s="9">
        <f t="shared" si="11"/>
        <v>5</v>
      </c>
      <c r="I96" s="7" t="s">
        <v>393</v>
      </c>
      <c r="J96" s="9">
        <f t="shared" si="12"/>
        <v>6</v>
      </c>
      <c r="K96" s="8" t="s">
        <v>353</v>
      </c>
      <c r="L96" s="8" t="s">
        <v>28</v>
      </c>
      <c r="M96" s="10">
        <v>0</v>
      </c>
      <c r="N96" s="10">
        <v>1</v>
      </c>
      <c r="O96" s="11" t="str">
        <f>IF(AND(N96&lt;0.05,OR(AND(L96="升高改善",M96&gt;0),AND(L96="降低改善",M96&lt;0))),"校正","不校正")</f>
        <v>不校正</v>
      </c>
      <c r="P96" s="8" t="s">
        <v>394</v>
      </c>
      <c r="Q96" s="8" t="s">
        <v>159</v>
      </c>
      <c r="R96" s="8" t="s">
        <v>160</v>
      </c>
      <c r="S96" s="8"/>
    </row>
    <row r="97" spans="1:19" ht="27" customHeight="1">
      <c r="A97" s="7" t="s">
        <v>395</v>
      </c>
      <c r="B97" s="7" t="s">
        <v>347</v>
      </c>
      <c r="C97" s="32" t="s">
        <v>382</v>
      </c>
      <c r="D97" s="7" t="s">
        <v>363</v>
      </c>
      <c r="E97" s="8" t="s">
        <v>23</v>
      </c>
      <c r="F97" s="7" t="s">
        <v>356</v>
      </c>
      <c r="G97" s="7" t="s">
        <v>328</v>
      </c>
      <c r="H97" s="9">
        <f t="shared" si="11"/>
        <v>3</v>
      </c>
      <c r="I97" s="7" t="s">
        <v>396</v>
      </c>
      <c r="J97" s="9">
        <f t="shared" si="12"/>
        <v>5</v>
      </c>
      <c r="K97" s="8" t="s">
        <v>353</v>
      </c>
      <c r="L97" s="8" t="s">
        <v>28</v>
      </c>
      <c r="M97" s="20"/>
      <c r="N97" s="20"/>
      <c r="O97" s="21" t="s">
        <v>190</v>
      </c>
      <c r="P97" s="8" t="s">
        <v>394</v>
      </c>
      <c r="Q97" s="8" t="s">
        <v>159</v>
      </c>
      <c r="R97" s="8" t="s">
        <v>160</v>
      </c>
      <c r="S97" s="8" t="s">
        <v>192</v>
      </c>
    </row>
    <row r="98" spans="1:19" ht="36" customHeight="1">
      <c r="A98" s="7" t="s">
        <v>397</v>
      </c>
      <c r="B98" s="7" t="s">
        <v>347</v>
      </c>
      <c r="C98" s="32" t="s">
        <v>382</v>
      </c>
      <c r="D98" s="7" t="s">
        <v>363</v>
      </c>
      <c r="E98" s="8" t="s">
        <v>81</v>
      </c>
      <c r="F98" s="7" t="s">
        <v>359</v>
      </c>
      <c r="G98" s="7" t="s">
        <v>392</v>
      </c>
      <c r="H98" s="9">
        <f t="shared" si="11"/>
        <v>5</v>
      </c>
      <c r="I98" s="7" t="s">
        <v>398</v>
      </c>
      <c r="J98" s="9">
        <f t="shared" si="12"/>
        <v>3</v>
      </c>
      <c r="K98" s="8" t="s">
        <v>353</v>
      </c>
      <c r="L98" s="8" t="s">
        <v>28</v>
      </c>
      <c r="M98" s="10">
        <v>0</v>
      </c>
      <c r="N98" s="10">
        <v>1</v>
      </c>
      <c r="O98" s="11" t="str">
        <f>IF(AND(N98&lt;0.05,OR(AND(L98="升高改善",M98&gt;0),AND(L98="降低改善",M98&lt;0))),"校正","不校正")</f>
        <v>不校正</v>
      </c>
      <c r="P98" s="8" t="s">
        <v>399</v>
      </c>
      <c r="Q98" s="8" t="s">
        <v>159</v>
      </c>
      <c r="R98" s="8" t="s">
        <v>160</v>
      </c>
      <c r="S98" s="8"/>
    </row>
    <row r="99" spans="1:19" ht="27" customHeight="1">
      <c r="A99" s="7" t="s">
        <v>400</v>
      </c>
      <c r="B99" s="7" t="s">
        <v>347</v>
      </c>
      <c r="C99" s="32" t="s">
        <v>382</v>
      </c>
      <c r="D99" s="7" t="s">
        <v>372</v>
      </c>
      <c r="E99" s="8" t="s">
        <v>23</v>
      </c>
      <c r="F99" s="7" t="s">
        <v>350</v>
      </c>
      <c r="G99" s="7" t="s">
        <v>401</v>
      </c>
      <c r="H99" s="9">
        <f t="shared" si="11"/>
        <v>5</v>
      </c>
      <c r="I99" s="7" t="s">
        <v>402</v>
      </c>
      <c r="J99" s="9">
        <f t="shared" si="12"/>
        <v>6</v>
      </c>
      <c r="K99" s="8" t="s">
        <v>353</v>
      </c>
      <c r="L99" s="8" t="s">
        <v>101</v>
      </c>
      <c r="M99" s="20"/>
      <c r="N99" s="20"/>
      <c r="O99" s="21" t="s">
        <v>190</v>
      </c>
      <c r="P99" s="8" t="s">
        <v>403</v>
      </c>
      <c r="Q99" s="8" t="s">
        <v>159</v>
      </c>
      <c r="R99" s="8" t="s">
        <v>160</v>
      </c>
      <c r="S99" s="8" t="s">
        <v>192</v>
      </c>
    </row>
    <row r="100" spans="1:19" ht="27" customHeight="1">
      <c r="A100" s="7" t="s">
        <v>404</v>
      </c>
      <c r="B100" s="7" t="s">
        <v>347</v>
      </c>
      <c r="C100" s="32" t="s">
        <v>382</v>
      </c>
      <c r="D100" s="7" t="s">
        <v>372</v>
      </c>
      <c r="E100" s="8" t="s">
        <v>23</v>
      </c>
      <c r="F100" s="7" t="s">
        <v>356</v>
      </c>
      <c r="G100" s="7" t="s">
        <v>328</v>
      </c>
      <c r="H100" s="9">
        <f t="shared" si="11"/>
        <v>3</v>
      </c>
      <c r="I100" s="7" t="s">
        <v>405</v>
      </c>
      <c r="J100" s="9">
        <f t="shared" si="12"/>
        <v>5</v>
      </c>
      <c r="K100" s="8" t="s">
        <v>353</v>
      </c>
      <c r="L100" s="8" t="s">
        <v>101</v>
      </c>
      <c r="M100" s="20"/>
      <c r="N100" s="20"/>
      <c r="O100" s="21" t="s">
        <v>190</v>
      </c>
      <c r="P100" s="8" t="s">
        <v>403</v>
      </c>
      <c r="Q100" s="8" t="s">
        <v>159</v>
      </c>
      <c r="R100" s="8" t="s">
        <v>160</v>
      </c>
      <c r="S100" s="8" t="s">
        <v>192</v>
      </c>
    </row>
    <row r="101" spans="1:19" ht="36" customHeight="1">
      <c r="A101" s="7" t="s">
        <v>406</v>
      </c>
      <c r="B101" s="7" t="s">
        <v>347</v>
      </c>
      <c r="C101" s="32" t="s">
        <v>382</v>
      </c>
      <c r="D101" s="7" t="s">
        <v>372</v>
      </c>
      <c r="E101" s="8" t="s">
        <v>81</v>
      </c>
      <c r="F101" s="7" t="s">
        <v>359</v>
      </c>
      <c r="G101" s="7" t="s">
        <v>401</v>
      </c>
      <c r="H101" s="9">
        <f t="shared" si="11"/>
        <v>5</v>
      </c>
      <c r="I101" s="7" t="s">
        <v>407</v>
      </c>
      <c r="J101" s="9">
        <f t="shared" si="12"/>
        <v>3</v>
      </c>
      <c r="K101" s="8" t="s">
        <v>353</v>
      </c>
      <c r="L101" s="8" t="s">
        <v>101</v>
      </c>
      <c r="M101" s="20"/>
      <c r="N101" s="20"/>
      <c r="O101" s="21" t="s">
        <v>190</v>
      </c>
      <c r="P101" s="8" t="s">
        <v>408</v>
      </c>
      <c r="Q101" s="8" t="s">
        <v>159</v>
      </c>
      <c r="R101" s="8" t="s">
        <v>160</v>
      </c>
      <c r="S101" s="8" t="s">
        <v>192</v>
      </c>
    </row>
    <row r="102" spans="1:19" ht="27" customHeight="1">
      <c r="A102" s="7" t="s">
        <v>409</v>
      </c>
      <c r="B102" s="7" t="s">
        <v>347</v>
      </c>
      <c r="C102" s="32" t="s">
        <v>410</v>
      </c>
      <c r="D102" s="7" t="s">
        <v>349</v>
      </c>
      <c r="E102" s="8" t="s">
        <v>23</v>
      </c>
      <c r="F102" s="7" t="s">
        <v>350</v>
      </c>
      <c r="G102" s="7" t="s">
        <v>411</v>
      </c>
      <c r="H102" s="9">
        <f t="shared" si="11"/>
        <v>5</v>
      </c>
      <c r="I102" s="7" t="s">
        <v>412</v>
      </c>
      <c r="J102" s="9">
        <f t="shared" si="12"/>
        <v>8</v>
      </c>
      <c r="K102" s="8" t="s">
        <v>353</v>
      </c>
      <c r="L102" s="8" t="s">
        <v>28</v>
      </c>
      <c r="M102" s="10">
        <v>0.2581988897471611</v>
      </c>
      <c r="N102" s="10">
        <v>0.56370286165077299</v>
      </c>
      <c r="O102" s="11" t="str">
        <f>IF(AND(N102&lt;0.05,OR(AND(L102="升高改善",M102&gt;0),AND(L102="降低改善",M102&lt;0))),"校正","不校正")</f>
        <v>不校正</v>
      </c>
      <c r="P102" s="8" t="s">
        <v>413</v>
      </c>
      <c r="Q102" s="8" t="s">
        <v>159</v>
      </c>
      <c r="R102" s="8" t="s">
        <v>160</v>
      </c>
      <c r="S102" s="8"/>
    </row>
    <row r="103" spans="1:19" ht="27" customHeight="1">
      <c r="A103" s="7" t="s">
        <v>414</v>
      </c>
      <c r="B103" s="7" t="s">
        <v>347</v>
      </c>
      <c r="C103" s="32" t="s">
        <v>410</v>
      </c>
      <c r="D103" s="7" t="s">
        <v>349</v>
      </c>
      <c r="E103" s="8" t="s">
        <v>23</v>
      </c>
      <c r="F103" s="7" t="s">
        <v>356</v>
      </c>
      <c r="G103" s="7" t="s">
        <v>328</v>
      </c>
      <c r="H103" s="9">
        <f t="shared" si="11"/>
        <v>3</v>
      </c>
      <c r="I103" s="7" t="s">
        <v>415</v>
      </c>
      <c r="J103" s="9">
        <f t="shared" si="12"/>
        <v>5</v>
      </c>
      <c r="K103" s="8" t="s">
        <v>353</v>
      </c>
      <c r="L103" s="8" t="s">
        <v>28</v>
      </c>
      <c r="M103" s="20"/>
      <c r="N103" s="20"/>
      <c r="O103" s="21" t="s">
        <v>190</v>
      </c>
      <c r="P103" s="8" t="s">
        <v>413</v>
      </c>
      <c r="Q103" s="8" t="s">
        <v>159</v>
      </c>
      <c r="R103" s="8" t="s">
        <v>160</v>
      </c>
      <c r="S103" s="8" t="s">
        <v>192</v>
      </c>
    </row>
    <row r="104" spans="1:19" ht="36" customHeight="1">
      <c r="A104" s="7" t="s">
        <v>416</v>
      </c>
      <c r="B104" s="7" t="s">
        <v>347</v>
      </c>
      <c r="C104" s="32" t="s">
        <v>410</v>
      </c>
      <c r="D104" s="7" t="s">
        <v>349</v>
      </c>
      <c r="E104" s="8" t="s">
        <v>81</v>
      </c>
      <c r="F104" s="7" t="s">
        <v>359</v>
      </c>
      <c r="G104" s="7" t="s">
        <v>411</v>
      </c>
      <c r="H104" s="9">
        <f t="shared" si="11"/>
        <v>5</v>
      </c>
      <c r="I104" s="7" t="s">
        <v>417</v>
      </c>
      <c r="J104" s="9">
        <f t="shared" si="12"/>
        <v>3</v>
      </c>
      <c r="K104" s="8" t="s">
        <v>353</v>
      </c>
      <c r="L104" s="8" t="s">
        <v>28</v>
      </c>
      <c r="M104" s="10">
        <v>0.2581988897471611</v>
      </c>
      <c r="N104" s="10">
        <v>0.56370286165077299</v>
      </c>
      <c r="O104" s="11" t="str">
        <f>IF(AND(N104&lt;0.05,OR(AND(L104="升高改善",M104&gt;0),AND(L104="降低改善",M104&lt;0))),"校正","不校正")</f>
        <v>不校正</v>
      </c>
      <c r="P104" s="8" t="s">
        <v>418</v>
      </c>
      <c r="Q104" s="8" t="s">
        <v>159</v>
      </c>
      <c r="R104" s="8" t="s">
        <v>160</v>
      </c>
      <c r="S104" s="8"/>
    </row>
    <row r="105" spans="1:19" ht="27" customHeight="1">
      <c r="A105" s="7" t="s">
        <v>419</v>
      </c>
      <c r="B105" s="7" t="s">
        <v>347</v>
      </c>
      <c r="C105" s="32" t="s">
        <v>410</v>
      </c>
      <c r="D105" s="7" t="s">
        <v>363</v>
      </c>
      <c r="E105" s="8" t="s">
        <v>23</v>
      </c>
      <c r="F105" s="7" t="s">
        <v>350</v>
      </c>
      <c r="G105" s="7" t="s">
        <v>281</v>
      </c>
      <c r="H105" s="9">
        <f t="shared" si="11"/>
        <v>5</v>
      </c>
      <c r="I105" s="7" t="s">
        <v>420</v>
      </c>
      <c r="J105" s="9">
        <f t="shared" si="12"/>
        <v>8</v>
      </c>
      <c r="K105" s="8" t="s">
        <v>353</v>
      </c>
      <c r="L105" s="8" t="s">
        <v>28</v>
      </c>
      <c r="M105" s="10">
        <v>0</v>
      </c>
      <c r="N105" s="10">
        <v>1</v>
      </c>
      <c r="O105" s="11" t="str">
        <f>IF(AND(N105&lt;0.05,OR(AND(L105="升高改善",M105&gt;0),AND(L105="降低改善",M105&lt;0))),"校正","不校正")</f>
        <v>不校正</v>
      </c>
      <c r="P105" s="8" t="s">
        <v>421</v>
      </c>
      <c r="Q105" s="8" t="s">
        <v>159</v>
      </c>
      <c r="R105" s="8" t="s">
        <v>160</v>
      </c>
      <c r="S105" s="8"/>
    </row>
    <row r="106" spans="1:19" ht="27" customHeight="1">
      <c r="A106" s="7" t="s">
        <v>422</v>
      </c>
      <c r="B106" s="7" t="s">
        <v>347</v>
      </c>
      <c r="C106" s="32" t="s">
        <v>410</v>
      </c>
      <c r="D106" s="7" t="s">
        <v>363</v>
      </c>
      <c r="E106" s="8" t="s">
        <v>23</v>
      </c>
      <c r="F106" s="7" t="s">
        <v>356</v>
      </c>
      <c r="G106" s="7" t="s">
        <v>328</v>
      </c>
      <c r="H106" s="9">
        <f t="shared" si="11"/>
        <v>3</v>
      </c>
      <c r="I106" s="7" t="s">
        <v>423</v>
      </c>
      <c r="J106" s="9">
        <f t="shared" si="12"/>
        <v>5</v>
      </c>
      <c r="K106" s="8" t="s">
        <v>353</v>
      </c>
      <c r="L106" s="8" t="s">
        <v>28</v>
      </c>
      <c r="M106" s="20"/>
      <c r="N106" s="20"/>
      <c r="O106" s="21" t="s">
        <v>190</v>
      </c>
      <c r="P106" s="8" t="s">
        <v>421</v>
      </c>
      <c r="Q106" s="8" t="s">
        <v>159</v>
      </c>
      <c r="R106" s="8" t="s">
        <v>160</v>
      </c>
      <c r="S106" s="8" t="s">
        <v>192</v>
      </c>
    </row>
    <row r="107" spans="1:19" ht="36" customHeight="1">
      <c r="A107" s="7" t="s">
        <v>424</v>
      </c>
      <c r="B107" s="7" t="s">
        <v>347</v>
      </c>
      <c r="C107" s="32" t="s">
        <v>410</v>
      </c>
      <c r="D107" s="7" t="s">
        <v>363</v>
      </c>
      <c r="E107" s="8" t="s">
        <v>81</v>
      </c>
      <c r="F107" s="7" t="s">
        <v>359</v>
      </c>
      <c r="G107" s="7" t="s">
        <v>281</v>
      </c>
      <c r="H107" s="9">
        <f t="shared" si="11"/>
        <v>5</v>
      </c>
      <c r="I107" s="7" t="s">
        <v>425</v>
      </c>
      <c r="J107" s="9">
        <f t="shared" si="12"/>
        <v>3</v>
      </c>
      <c r="K107" s="8" t="s">
        <v>353</v>
      </c>
      <c r="L107" s="8" t="s">
        <v>28</v>
      </c>
      <c r="M107" s="10">
        <v>0</v>
      </c>
      <c r="N107" s="10">
        <v>1</v>
      </c>
      <c r="O107" s="11" t="str">
        <f>IF(AND(N107&lt;0.05,OR(AND(L107="升高改善",M107&gt;0),AND(L107="降低改善",M107&lt;0))),"校正","不校正")</f>
        <v>不校正</v>
      </c>
      <c r="P107" s="8" t="s">
        <v>426</v>
      </c>
      <c r="Q107" s="8" t="s">
        <v>159</v>
      </c>
      <c r="R107" s="8" t="s">
        <v>160</v>
      </c>
      <c r="S107" s="8"/>
    </row>
    <row r="108" spans="1:19" ht="27" customHeight="1">
      <c r="A108" s="7" t="s">
        <v>427</v>
      </c>
      <c r="B108" s="7" t="s">
        <v>347</v>
      </c>
      <c r="C108" s="32" t="s">
        <v>410</v>
      </c>
      <c r="D108" s="7" t="s">
        <v>372</v>
      </c>
      <c r="E108" s="8" t="s">
        <v>23</v>
      </c>
      <c r="F108" s="7" t="s">
        <v>350</v>
      </c>
      <c r="G108" s="7" t="s">
        <v>25</v>
      </c>
      <c r="H108" s="9">
        <f t="shared" si="11"/>
        <v>5</v>
      </c>
      <c r="I108" s="7" t="s">
        <v>428</v>
      </c>
      <c r="J108" s="9">
        <f t="shared" si="12"/>
        <v>8</v>
      </c>
      <c r="K108" s="8" t="s">
        <v>353</v>
      </c>
      <c r="L108" s="8" t="s">
        <v>101</v>
      </c>
      <c r="M108" s="10">
        <v>0.63245553203367588</v>
      </c>
      <c r="N108" s="10">
        <v>0.15729920705028511</v>
      </c>
      <c r="O108" s="11" t="str">
        <f>IF(AND(N108&lt;0.05,OR(AND(L108="升高改善",M108&gt;0),AND(L108="降低改善",M108&lt;0))),"校正","不校正")</f>
        <v>不校正</v>
      </c>
      <c r="P108" s="8" t="s">
        <v>429</v>
      </c>
      <c r="Q108" s="8" t="s">
        <v>159</v>
      </c>
      <c r="R108" s="8" t="s">
        <v>160</v>
      </c>
      <c r="S108" s="8"/>
    </row>
    <row r="109" spans="1:19" ht="27" customHeight="1">
      <c r="A109" s="7" t="s">
        <v>430</v>
      </c>
      <c r="B109" s="7" t="s">
        <v>347</v>
      </c>
      <c r="C109" s="32" t="s">
        <v>410</v>
      </c>
      <c r="D109" s="7" t="s">
        <v>372</v>
      </c>
      <c r="E109" s="8" t="s">
        <v>23</v>
      </c>
      <c r="F109" s="7" t="s">
        <v>356</v>
      </c>
      <c r="G109" s="7" t="s">
        <v>328</v>
      </c>
      <c r="H109" s="9">
        <f t="shared" si="11"/>
        <v>3</v>
      </c>
      <c r="I109" s="7" t="s">
        <v>431</v>
      </c>
      <c r="J109" s="9">
        <f t="shared" si="12"/>
        <v>5</v>
      </c>
      <c r="K109" s="8" t="s">
        <v>353</v>
      </c>
      <c r="L109" s="8" t="s">
        <v>101</v>
      </c>
      <c r="M109" s="20"/>
      <c r="N109" s="20"/>
      <c r="O109" s="21" t="s">
        <v>190</v>
      </c>
      <c r="P109" s="8" t="s">
        <v>429</v>
      </c>
      <c r="Q109" s="8" t="s">
        <v>159</v>
      </c>
      <c r="R109" s="8" t="s">
        <v>160</v>
      </c>
      <c r="S109" s="8" t="s">
        <v>192</v>
      </c>
    </row>
    <row r="110" spans="1:19" ht="36" customHeight="1">
      <c r="A110" s="7" t="s">
        <v>432</v>
      </c>
      <c r="B110" s="7" t="s">
        <v>347</v>
      </c>
      <c r="C110" s="32" t="s">
        <v>410</v>
      </c>
      <c r="D110" s="7" t="s">
        <v>372</v>
      </c>
      <c r="E110" s="8" t="s">
        <v>81</v>
      </c>
      <c r="F110" s="7" t="s">
        <v>359</v>
      </c>
      <c r="G110" s="7" t="s">
        <v>25</v>
      </c>
      <c r="H110" s="9">
        <f t="shared" si="11"/>
        <v>5</v>
      </c>
      <c r="I110" s="7" t="s">
        <v>433</v>
      </c>
      <c r="J110" s="9">
        <f t="shared" si="12"/>
        <v>3</v>
      </c>
      <c r="K110" s="8" t="s">
        <v>353</v>
      </c>
      <c r="L110" s="8" t="s">
        <v>101</v>
      </c>
      <c r="M110" s="10">
        <v>0.63245553203367588</v>
      </c>
      <c r="N110" s="10">
        <v>0.15729920705028511</v>
      </c>
      <c r="O110" s="11" t="str">
        <f>IF(AND(N110&lt;0.05,OR(AND(L110="升高改善",M110&gt;0),AND(L110="降低改善",M110&lt;0))),"校正","不校正")</f>
        <v>不校正</v>
      </c>
      <c r="P110" s="8" t="s">
        <v>434</v>
      </c>
      <c r="Q110" s="8" t="s">
        <v>159</v>
      </c>
      <c r="R110" s="8" t="s">
        <v>160</v>
      </c>
      <c r="S110" s="8"/>
    </row>
    <row r="111" spans="1:19" ht="27" customHeight="1">
      <c r="A111" s="7" t="s">
        <v>435</v>
      </c>
      <c r="B111" s="7" t="s">
        <v>347</v>
      </c>
      <c r="C111" s="32" t="s">
        <v>436</v>
      </c>
      <c r="D111" s="7" t="s">
        <v>349</v>
      </c>
      <c r="E111" s="8" t="s">
        <v>23</v>
      </c>
      <c r="F111" s="7" t="s">
        <v>350</v>
      </c>
      <c r="G111" s="7" t="s">
        <v>401</v>
      </c>
      <c r="H111" s="9">
        <f t="shared" si="11"/>
        <v>5</v>
      </c>
      <c r="I111" s="7" t="s">
        <v>437</v>
      </c>
      <c r="J111" s="9">
        <f t="shared" si="12"/>
        <v>5</v>
      </c>
      <c r="K111" s="8" t="s">
        <v>353</v>
      </c>
      <c r="L111" s="8" t="s">
        <v>28</v>
      </c>
      <c r="M111" s="20"/>
      <c r="N111" s="20"/>
      <c r="O111" s="21" t="s">
        <v>190</v>
      </c>
      <c r="P111" s="8" t="s">
        <v>438</v>
      </c>
      <c r="Q111" s="8" t="s">
        <v>159</v>
      </c>
      <c r="R111" s="8" t="s">
        <v>160</v>
      </c>
      <c r="S111" s="8" t="s">
        <v>192</v>
      </c>
    </row>
    <row r="112" spans="1:19" ht="27" customHeight="1">
      <c r="A112" s="7" t="s">
        <v>439</v>
      </c>
      <c r="B112" s="7" t="s">
        <v>347</v>
      </c>
      <c r="C112" s="32" t="s">
        <v>436</v>
      </c>
      <c r="D112" s="7" t="s">
        <v>349</v>
      </c>
      <c r="E112" s="8" t="s">
        <v>23</v>
      </c>
      <c r="F112" s="7" t="s">
        <v>356</v>
      </c>
      <c r="G112" s="7" t="s">
        <v>440</v>
      </c>
      <c r="H112" s="9">
        <f t="shared" si="11"/>
        <v>3</v>
      </c>
      <c r="I112" s="7" t="s">
        <v>441</v>
      </c>
      <c r="J112" s="9">
        <f t="shared" si="12"/>
        <v>6</v>
      </c>
      <c r="K112" s="8" t="s">
        <v>353</v>
      </c>
      <c r="L112" s="8" t="s">
        <v>28</v>
      </c>
      <c r="M112" s="10">
        <v>0</v>
      </c>
      <c r="N112" s="10">
        <v>1</v>
      </c>
      <c r="O112" s="11" t="str">
        <f>IF(AND(N112&lt;0.05,OR(AND(L112="升高改善",M112&gt;0),AND(L112="降低改善",M112&lt;0))),"校正","不校正")</f>
        <v>不校正</v>
      </c>
      <c r="P112" s="8" t="s">
        <v>438</v>
      </c>
      <c r="Q112" s="8" t="s">
        <v>159</v>
      </c>
      <c r="R112" s="8" t="s">
        <v>160</v>
      </c>
      <c r="S112" s="8"/>
    </row>
    <row r="113" spans="1:19" ht="27" customHeight="1">
      <c r="A113" s="7" t="s">
        <v>442</v>
      </c>
      <c r="B113" s="7" t="s">
        <v>347</v>
      </c>
      <c r="C113" s="32" t="s">
        <v>436</v>
      </c>
      <c r="D113" s="7" t="s">
        <v>349</v>
      </c>
      <c r="E113" s="8" t="s">
        <v>81</v>
      </c>
      <c r="F113" s="7" t="s">
        <v>359</v>
      </c>
      <c r="G113" s="7" t="s">
        <v>401</v>
      </c>
      <c r="H113" s="9">
        <f t="shared" si="11"/>
        <v>5</v>
      </c>
      <c r="I113" s="7" t="s">
        <v>443</v>
      </c>
      <c r="J113" s="9">
        <f t="shared" si="12"/>
        <v>3</v>
      </c>
      <c r="K113" s="8" t="s">
        <v>353</v>
      </c>
      <c r="L113" s="8" t="s">
        <v>28</v>
      </c>
      <c r="M113" s="20"/>
      <c r="N113" s="20"/>
      <c r="O113" s="21" t="s">
        <v>190</v>
      </c>
      <c r="P113" s="8" t="s">
        <v>444</v>
      </c>
      <c r="Q113" s="8" t="s">
        <v>159</v>
      </c>
      <c r="R113" s="8" t="s">
        <v>160</v>
      </c>
      <c r="S113" s="8" t="s">
        <v>192</v>
      </c>
    </row>
    <row r="114" spans="1:19" ht="27" customHeight="1">
      <c r="A114" s="7" t="s">
        <v>445</v>
      </c>
      <c r="B114" s="7" t="s">
        <v>347</v>
      </c>
      <c r="C114" s="32" t="s">
        <v>436</v>
      </c>
      <c r="D114" s="7" t="s">
        <v>363</v>
      </c>
      <c r="E114" s="8" t="s">
        <v>23</v>
      </c>
      <c r="F114" s="7" t="s">
        <v>350</v>
      </c>
      <c r="G114" s="7" t="s">
        <v>446</v>
      </c>
      <c r="H114" s="9">
        <f t="shared" si="11"/>
        <v>5</v>
      </c>
      <c r="I114" s="7" t="s">
        <v>447</v>
      </c>
      <c r="J114" s="9">
        <f t="shared" si="12"/>
        <v>5</v>
      </c>
      <c r="K114" s="8" t="s">
        <v>353</v>
      </c>
      <c r="L114" s="8" t="s">
        <v>28</v>
      </c>
      <c r="M114" s="10">
        <v>0.2581988897471611</v>
      </c>
      <c r="N114" s="10">
        <v>0.56370286165077299</v>
      </c>
      <c r="O114" s="11" t="str">
        <f>IF(AND(N114&lt;0.05,OR(AND(L114="升高改善",M114&gt;0),AND(L114="降低改善",M114&lt;0))),"校正","不校正")</f>
        <v>不校正</v>
      </c>
      <c r="P114" s="8" t="s">
        <v>448</v>
      </c>
      <c r="Q114" s="8" t="s">
        <v>159</v>
      </c>
      <c r="R114" s="8" t="s">
        <v>160</v>
      </c>
      <c r="S114" s="8"/>
    </row>
    <row r="115" spans="1:19" ht="27" customHeight="1">
      <c r="A115" s="7" t="s">
        <v>449</v>
      </c>
      <c r="B115" s="7" t="s">
        <v>347</v>
      </c>
      <c r="C115" s="32" t="s">
        <v>436</v>
      </c>
      <c r="D115" s="7" t="s">
        <v>363</v>
      </c>
      <c r="E115" s="8" t="s">
        <v>23</v>
      </c>
      <c r="F115" s="7" t="s">
        <v>356</v>
      </c>
      <c r="G115" s="7" t="s">
        <v>328</v>
      </c>
      <c r="H115" s="9">
        <f t="shared" si="11"/>
        <v>3</v>
      </c>
      <c r="I115" s="7" t="s">
        <v>450</v>
      </c>
      <c r="J115" s="9">
        <f t="shared" si="12"/>
        <v>6</v>
      </c>
      <c r="K115" s="8" t="s">
        <v>353</v>
      </c>
      <c r="L115" s="8" t="s">
        <v>28</v>
      </c>
      <c r="M115" s="20"/>
      <c r="N115" s="20"/>
      <c r="O115" s="21" t="s">
        <v>190</v>
      </c>
      <c r="P115" s="8" t="s">
        <v>448</v>
      </c>
      <c r="Q115" s="8" t="s">
        <v>159</v>
      </c>
      <c r="R115" s="8" t="s">
        <v>160</v>
      </c>
      <c r="S115" s="8" t="s">
        <v>192</v>
      </c>
    </row>
    <row r="116" spans="1:19" ht="27" customHeight="1">
      <c r="A116" s="7" t="s">
        <v>451</v>
      </c>
      <c r="B116" s="7" t="s">
        <v>347</v>
      </c>
      <c r="C116" s="32" t="s">
        <v>436</v>
      </c>
      <c r="D116" s="7" t="s">
        <v>363</v>
      </c>
      <c r="E116" s="8" t="s">
        <v>81</v>
      </c>
      <c r="F116" s="7" t="s">
        <v>359</v>
      </c>
      <c r="G116" s="7" t="s">
        <v>446</v>
      </c>
      <c r="H116" s="9">
        <f t="shared" ref="H116:H147" si="13">IF(LEN(G116)=0,"",IF(ISNUMBER(SEARCH(",",G116)),LEN(SUBSTITUTE(G116,",","xx"))-LEN(G116)+1,1))</f>
        <v>5</v>
      </c>
      <c r="I116" s="7" t="s">
        <v>452</v>
      </c>
      <c r="J116" s="9">
        <f t="shared" ref="J116:J147" si="14">IF(LEN(I116)=0,"",IF(ISNUMBER(SEARCH(",",I116)),LEN(SUBSTITUTE(I116,",","xx"))-LEN(I116)+1,1))</f>
        <v>3</v>
      </c>
      <c r="K116" s="8" t="s">
        <v>353</v>
      </c>
      <c r="L116" s="8" t="s">
        <v>28</v>
      </c>
      <c r="M116" s="10">
        <v>0.2581988897471611</v>
      </c>
      <c r="N116" s="10">
        <v>0.56370286165077299</v>
      </c>
      <c r="O116" s="11" t="str">
        <f>IF(AND(N116&lt;0.05,OR(AND(L116="升高改善",M116&gt;0),AND(L116="降低改善",M116&lt;0))),"校正","不校正")</f>
        <v>不校正</v>
      </c>
      <c r="P116" s="8" t="s">
        <v>453</v>
      </c>
      <c r="Q116" s="8" t="s">
        <v>159</v>
      </c>
      <c r="R116" s="8" t="s">
        <v>160</v>
      </c>
      <c r="S116" s="8"/>
    </row>
    <row r="117" spans="1:19" ht="27" customHeight="1">
      <c r="A117" s="7" t="s">
        <v>454</v>
      </c>
      <c r="B117" s="7" t="s">
        <v>347</v>
      </c>
      <c r="C117" s="32" t="s">
        <v>436</v>
      </c>
      <c r="D117" s="7" t="s">
        <v>372</v>
      </c>
      <c r="E117" s="8" t="s">
        <v>23</v>
      </c>
      <c r="F117" s="7" t="s">
        <v>350</v>
      </c>
      <c r="G117" s="7" t="s">
        <v>455</v>
      </c>
      <c r="H117" s="9">
        <f t="shared" si="13"/>
        <v>5</v>
      </c>
      <c r="I117" s="7" t="s">
        <v>456</v>
      </c>
      <c r="J117" s="9">
        <f t="shared" si="14"/>
        <v>5</v>
      </c>
      <c r="K117" s="8" t="s">
        <v>353</v>
      </c>
      <c r="L117" s="8" t="s">
        <v>101</v>
      </c>
      <c r="M117" s="10">
        <v>-0.2581988897471611</v>
      </c>
      <c r="N117" s="10">
        <v>0.56370286165077299</v>
      </c>
      <c r="O117" s="11" t="str">
        <f>IF(AND(N117&lt;0.05,OR(AND(L117="升高改善",M117&gt;0),AND(L117="降低改善",M117&lt;0))),"校正","不校正")</f>
        <v>不校正</v>
      </c>
      <c r="P117" s="8" t="s">
        <v>457</v>
      </c>
      <c r="Q117" s="8" t="s">
        <v>159</v>
      </c>
      <c r="R117" s="8" t="s">
        <v>160</v>
      </c>
      <c r="S117" s="8"/>
    </row>
    <row r="118" spans="1:19" ht="27" customHeight="1">
      <c r="A118" s="7" t="s">
        <v>458</v>
      </c>
      <c r="B118" s="7" t="s">
        <v>347</v>
      </c>
      <c r="C118" s="32" t="s">
        <v>436</v>
      </c>
      <c r="D118" s="7" t="s">
        <v>372</v>
      </c>
      <c r="E118" s="8" t="s">
        <v>23</v>
      </c>
      <c r="F118" s="7" t="s">
        <v>356</v>
      </c>
      <c r="G118" s="7" t="s">
        <v>459</v>
      </c>
      <c r="H118" s="9">
        <f t="shared" si="13"/>
        <v>3</v>
      </c>
      <c r="I118" s="7" t="s">
        <v>460</v>
      </c>
      <c r="J118" s="9">
        <f t="shared" si="14"/>
        <v>6</v>
      </c>
      <c r="K118" s="8" t="s">
        <v>353</v>
      </c>
      <c r="L118" s="8" t="s">
        <v>101</v>
      </c>
      <c r="M118" s="10">
        <v>-0.33333333333333331</v>
      </c>
      <c r="N118" s="10">
        <v>0.60150813444058993</v>
      </c>
      <c r="O118" s="11" t="str">
        <f>IF(AND(N118&lt;0.05,OR(AND(L118="升高改善",M118&gt;0),AND(L118="降低改善",M118&lt;0))),"校正","不校正")</f>
        <v>不校正</v>
      </c>
      <c r="P118" s="8" t="s">
        <v>457</v>
      </c>
      <c r="Q118" s="8" t="s">
        <v>159</v>
      </c>
      <c r="R118" s="8" t="s">
        <v>160</v>
      </c>
      <c r="S118" s="8"/>
    </row>
    <row r="119" spans="1:19" ht="27" customHeight="1">
      <c r="A119" s="7" t="s">
        <v>461</v>
      </c>
      <c r="B119" s="7" t="s">
        <v>347</v>
      </c>
      <c r="C119" s="32" t="s">
        <v>436</v>
      </c>
      <c r="D119" s="7" t="s">
        <v>372</v>
      </c>
      <c r="E119" s="8" t="s">
        <v>81</v>
      </c>
      <c r="F119" s="7" t="s">
        <v>359</v>
      </c>
      <c r="G119" s="7" t="s">
        <v>455</v>
      </c>
      <c r="H119" s="9">
        <f t="shared" si="13"/>
        <v>5</v>
      </c>
      <c r="I119" s="7" t="s">
        <v>328</v>
      </c>
      <c r="J119" s="9">
        <f t="shared" si="14"/>
        <v>3</v>
      </c>
      <c r="K119" s="8" t="s">
        <v>353</v>
      </c>
      <c r="L119" s="8" t="s">
        <v>101</v>
      </c>
      <c r="M119" s="10">
        <v>-0.2581988897471611</v>
      </c>
      <c r="N119" s="10">
        <v>0.56370286165077299</v>
      </c>
      <c r="O119" s="11" t="str">
        <f>IF(AND(N119&lt;0.05,OR(AND(L119="升高改善",M119&gt;0),AND(L119="降低改善",M119&lt;0))),"校正","不校正")</f>
        <v>不校正</v>
      </c>
      <c r="P119" s="8" t="s">
        <v>462</v>
      </c>
      <c r="Q119" s="8" t="s">
        <v>159</v>
      </c>
      <c r="R119" s="8" t="s">
        <v>160</v>
      </c>
      <c r="S119" s="8"/>
    </row>
    <row r="120" spans="1:19" ht="27" customHeight="1">
      <c r="A120" s="7" t="s">
        <v>463</v>
      </c>
      <c r="B120" s="7" t="s">
        <v>347</v>
      </c>
      <c r="C120" s="32" t="s">
        <v>464</v>
      </c>
      <c r="D120" s="7" t="s">
        <v>349</v>
      </c>
      <c r="E120" s="8" t="s">
        <v>23</v>
      </c>
      <c r="F120" s="7" t="s">
        <v>350</v>
      </c>
      <c r="G120" s="7" t="s">
        <v>401</v>
      </c>
      <c r="H120" s="9">
        <f t="shared" si="13"/>
        <v>5</v>
      </c>
      <c r="I120" s="7" t="s">
        <v>465</v>
      </c>
      <c r="J120" s="9">
        <f t="shared" si="14"/>
        <v>6</v>
      </c>
      <c r="K120" s="8" t="s">
        <v>353</v>
      </c>
      <c r="L120" s="8" t="s">
        <v>28</v>
      </c>
      <c r="M120" s="20"/>
      <c r="N120" s="20"/>
      <c r="O120" s="21" t="s">
        <v>190</v>
      </c>
      <c r="P120" s="8" t="s">
        <v>466</v>
      </c>
      <c r="Q120" s="8" t="s">
        <v>159</v>
      </c>
      <c r="R120" s="8" t="s">
        <v>160</v>
      </c>
      <c r="S120" s="8" t="s">
        <v>192</v>
      </c>
    </row>
    <row r="121" spans="1:19" ht="27" customHeight="1">
      <c r="A121" s="7" t="s">
        <v>467</v>
      </c>
      <c r="B121" s="7" t="s">
        <v>347</v>
      </c>
      <c r="C121" s="32" t="s">
        <v>464</v>
      </c>
      <c r="D121" s="7" t="s">
        <v>349</v>
      </c>
      <c r="E121" s="8" t="s">
        <v>23</v>
      </c>
      <c r="F121" s="7" t="s">
        <v>356</v>
      </c>
      <c r="G121" s="7" t="s">
        <v>468</v>
      </c>
      <c r="H121" s="9">
        <f t="shared" si="13"/>
        <v>3</v>
      </c>
      <c r="I121" s="7" t="s">
        <v>469</v>
      </c>
      <c r="J121" s="9">
        <f t="shared" si="14"/>
        <v>5</v>
      </c>
      <c r="K121" s="8" t="s">
        <v>353</v>
      </c>
      <c r="L121" s="8" t="s">
        <v>28</v>
      </c>
      <c r="M121" s="10">
        <v>0.33333333333333331</v>
      </c>
      <c r="N121" s="10">
        <v>0.60150813444058993</v>
      </c>
      <c r="O121" s="11" t="str">
        <f>IF(AND(N121&lt;0.05,OR(AND(L121="升高改善",M121&gt;0),AND(L121="降低改善",M121&lt;0))),"校正","不校正")</f>
        <v>不校正</v>
      </c>
      <c r="P121" s="8" t="s">
        <v>466</v>
      </c>
      <c r="Q121" s="8" t="s">
        <v>159</v>
      </c>
      <c r="R121" s="8" t="s">
        <v>160</v>
      </c>
      <c r="S121" s="8"/>
    </row>
    <row r="122" spans="1:19" ht="27" customHeight="1">
      <c r="A122" s="7" t="s">
        <v>470</v>
      </c>
      <c r="B122" s="7" t="s">
        <v>347</v>
      </c>
      <c r="C122" s="32" t="s">
        <v>464</v>
      </c>
      <c r="D122" s="7" t="s">
        <v>349</v>
      </c>
      <c r="E122" s="8" t="s">
        <v>81</v>
      </c>
      <c r="F122" s="7" t="s">
        <v>359</v>
      </c>
      <c r="G122" s="7" t="s">
        <v>401</v>
      </c>
      <c r="H122" s="9">
        <f t="shared" si="13"/>
        <v>5</v>
      </c>
      <c r="I122" s="7" t="s">
        <v>471</v>
      </c>
      <c r="J122" s="9">
        <f t="shared" si="14"/>
        <v>3</v>
      </c>
      <c r="K122" s="8" t="s">
        <v>353</v>
      </c>
      <c r="L122" s="8" t="s">
        <v>28</v>
      </c>
      <c r="M122" s="20"/>
      <c r="N122" s="20"/>
      <c r="O122" s="21" t="s">
        <v>190</v>
      </c>
      <c r="P122" s="8" t="s">
        <v>472</v>
      </c>
      <c r="Q122" s="8" t="s">
        <v>159</v>
      </c>
      <c r="R122" s="8" t="s">
        <v>160</v>
      </c>
      <c r="S122" s="8" t="s">
        <v>192</v>
      </c>
    </row>
    <row r="123" spans="1:19" ht="27" customHeight="1">
      <c r="A123" s="7" t="s">
        <v>473</v>
      </c>
      <c r="B123" s="7" t="s">
        <v>347</v>
      </c>
      <c r="C123" s="32" t="s">
        <v>464</v>
      </c>
      <c r="D123" s="7" t="s">
        <v>363</v>
      </c>
      <c r="E123" s="8" t="s">
        <v>23</v>
      </c>
      <c r="F123" s="7" t="s">
        <v>350</v>
      </c>
      <c r="G123" s="7" t="s">
        <v>455</v>
      </c>
      <c r="H123" s="9">
        <f t="shared" si="13"/>
        <v>5</v>
      </c>
      <c r="I123" s="7" t="s">
        <v>474</v>
      </c>
      <c r="J123" s="9">
        <f t="shared" si="14"/>
        <v>6</v>
      </c>
      <c r="K123" s="8" t="s">
        <v>353</v>
      </c>
      <c r="L123" s="8" t="s">
        <v>28</v>
      </c>
      <c r="M123" s="10">
        <v>-0.2581988897471611</v>
      </c>
      <c r="N123" s="10">
        <v>0.56370286165077299</v>
      </c>
      <c r="O123" s="11" t="str">
        <f t="shared" ref="O123:O137" si="15">IF(AND(N123&lt;0.05,OR(AND(L123="升高改善",M123&gt;0),AND(L123="降低改善",M123&lt;0))),"校正","不校正")</f>
        <v>不校正</v>
      </c>
      <c r="P123" s="8" t="s">
        <v>475</v>
      </c>
      <c r="Q123" s="8" t="s">
        <v>159</v>
      </c>
      <c r="R123" s="8" t="s">
        <v>160</v>
      </c>
      <c r="S123" s="8"/>
    </row>
    <row r="124" spans="1:19" ht="27" customHeight="1">
      <c r="A124" s="7" t="s">
        <v>476</v>
      </c>
      <c r="B124" s="7" t="s">
        <v>347</v>
      </c>
      <c r="C124" s="32" t="s">
        <v>464</v>
      </c>
      <c r="D124" s="7" t="s">
        <v>363</v>
      </c>
      <c r="E124" s="8" t="s">
        <v>23</v>
      </c>
      <c r="F124" s="7" t="s">
        <v>356</v>
      </c>
      <c r="G124" s="7" t="s">
        <v>477</v>
      </c>
      <c r="H124" s="9">
        <f t="shared" si="13"/>
        <v>3</v>
      </c>
      <c r="I124" s="7" t="s">
        <v>478</v>
      </c>
      <c r="J124" s="9">
        <f t="shared" si="14"/>
        <v>5</v>
      </c>
      <c r="K124" s="8" t="s">
        <v>353</v>
      </c>
      <c r="L124" s="8" t="s">
        <v>28</v>
      </c>
      <c r="M124" s="10">
        <v>-0.81649658092772615</v>
      </c>
      <c r="N124" s="10">
        <v>0.22067136191984676</v>
      </c>
      <c r="O124" s="11" t="str">
        <f t="shared" si="15"/>
        <v>不校正</v>
      </c>
      <c r="P124" s="8" t="s">
        <v>475</v>
      </c>
      <c r="Q124" s="8" t="s">
        <v>159</v>
      </c>
      <c r="R124" s="8" t="s">
        <v>160</v>
      </c>
      <c r="S124" s="8"/>
    </row>
    <row r="125" spans="1:19" ht="27" customHeight="1">
      <c r="A125" s="7" t="s">
        <v>479</v>
      </c>
      <c r="B125" s="7" t="s">
        <v>347</v>
      </c>
      <c r="C125" s="32" t="s">
        <v>464</v>
      </c>
      <c r="D125" s="7" t="s">
        <v>363</v>
      </c>
      <c r="E125" s="8" t="s">
        <v>81</v>
      </c>
      <c r="F125" s="7" t="s">
        <v>359</v>
      </c>
      <c r="G125" s="7" t="s">
        <v>455</v>
      </c>
      <c r="H125" s="9">
        <f t="shared" si="13"/>
        <v>5</v>
      </c>
      <c r="I125" s="7" t="s">
        <v>480</v>
      </c>
      <c r="J125" s="9">
        <f t="shared" si="14"/>
        <v>3</v>
      </c>
      <c r="K125" s="8" t="s">
        <v>353</v>
      </c>
      <c r="L125" s="8" t="s">
        <v>28</v>
      </c>
      <c r="M125" s="10">
        <v>-0.2581988897471611</v>
      </c>
      <c r="N125" s="10">
        <v>0.56370286165077299</v>
      </c>
      <c r="O125" s="11" t="str">
        <f t="shared" si="15"/>
        <v>不校正</v>
      </c>
      <c r="P125" s="8" t="s">
        <v>481</v>
      </c>
      <c r="Q125" s="8" t="s">
        <v>159</v>
      </c>
      <c r="R125" s="8" t="s">
        <v>160</v>
      </c>
      <c r="S125" s="8"/>
    </row>
    <row r="126" spans="1:19" ht="27" customHeight="1">
      <c r="A126" s="7" t="s">
        <v>482</v>
      </c>
      <c r="B126" s="7" t="s">
        <v>347</v>
      </c>
      <c r="C126" s="32" t="s">
        <v>464</v>
      </c>
      <c r="D126" s="7" t="s">
        <v>372</v>
      </c>
      <c r="E126" s="8" t="s">
        <v>23</v>
      </c>
      <c r="F126" s="7" t="s">
        <v>350</v>
      </c>
      <c r="G126" s="7" t="s">
        <v>483</v>
      </c>
      <c r="H126" s="9">
        <f t="shared" si="13"/>
        <v>5</v>
      </c>
      <c r="I126" s="7" t="s">
        <v>484</v>
      </c>
      <c r="J126" s="9">
        <f t="shared" si="14"/>
        <v>6</v>
      </c>
      <c r="K126" s="8" t="s">
        <v>353</v>
      </c>
      <c r="L126" s="8" t="s">
        <v>101</v>
      </c>
      <c r="M126" s="10">
        <v>0.10540925533894598</v>
      </c>
      <c r="N126" s="10">
        <v>0.80054210742312626</v>
      </c>
      <c r="O126" s="11" t="str">
        <f t="shared" si="15"/>
        <v>不校正</v>
      </c>
      <c r="P126" s="8" t="s">
        <v>485</v>
      </c>
      <c r="Q126" s="8" t="s">
        <v>159</v>
      </c>
      <c r="R126" s="8" t="s">
        <v>160</v>
      </c>
      <c r="S126" s="8"/>
    </row>
    <row r="127" spans="1:19" ht="27" customHeight="1">
      <c r="A127" s="7" t="s">
        <v>486</v>
      </c>
      <c r="B127" s="7" t="s">
        <v>347</v>
      </c>
      <c r="C127" s="32" t="s">
        <v>464</v>
      </c>
      <c r="D127" s="7" t="s">
        <v>372</v>
      </c>
      <c r="E127" s="8" t="s">
        <v>23</v>
      </c>
      <c r="F127" s="7" t="s">
        <v>356</v>
      </c>
      <c r="G127" s="7" t="s">
        <v>487</v>
      </c>
      <c r="H127" s="9">
        <f t="shared" si="13"/>
        <v>3</v>
      </c>
      <c r="I127" s="7" t="s">
        <v>488</v>
      </c>
      <c r="J127" s="9">
        <f t="shared" si="14"/>
        <v>5</v>
      </c>
      <c r="K127" s="8" t="s">
        <v>353</v>
      </c>
      <c r="L127" s="8" t="s">
        <v>101</v>
      </c>
      <c r="M127" s="10">
        <v>0.81649658092772615</v>
      </c>
      <c r="N127" s="10">
        <v>0.22067136191984676</v>
      </c>
      <c r="O127" s="11" t="str">
        <f t="shared" si="15"/>
        <v>不校正</v>
      </c>
      <c r="P127" s="8" t="s">
        <v>485</v>
      </c>
      <c r="Q127" s="8" t="s">
        <v>159</v>
      </c>
      <c r="R127" s="8" t="s">
        <v>160</v>
      </c>
      <c r="S127" s="8"/>
    </row>
    <row r="128" spans="1:19" ht="27" customHeight="1">
      <c r="A128" s="7" t="s">
        <v>489</v>
      </c>
      <c r="B128" s="7" t="s">
        <v>347</v>
      </c>
      <c r="C128" s="32" t="s">
        <v>464</v>
      </c>
      <c r="D128" s="7" t="s">
        <v>372</v>
      </c>
      <c r="E128" s="8" t="s">
        <v>81</v>
      </c>
      <c r="F128" s="7" t="s">
        <v>359</v>
      </c>
      <c r="G128" s="7" t="s">
        <v>483</v>
      </c>
      <c r="H128" s="9">
        <f t="shared" si="13"/>
        <v>5</v>
      </c>
      <c r="I128" s="7" t="s">
        <v>328</v>
      </c>
      <c r="J128" s="9">
        <f t="shared" si="14"/>
        <v>3</v>
      </c>
      <c r="K128" s="8" t="s">
        <v>353</v>
      </c>
      <c r="L128" s="8" t="s">
        <v>101</v>
      </c>
      <c r="M128" s="10">
        <v>0.10540925533894598</v>
      </c>
      <c r="N128" s="10">
        <v>0.80054210742312626</v>
      </c>
      <c r="O128" s="11" t="str">
        <f t="shared" si="15"/>
        <v>不校正</v>
      </c>
      <c r="P128" s="8" t="s">
        <v>490</v>
      </c>
      <c r="Q128" s="8" t="s">
        <v>159</v>
      </c>
      <c r="R128" s="8" t="s">
        <v>160</v>
      </c>
      <c r="S128" s="8"/>
    </row>
    <row r="129" spans="1:19" ht="27" customHeight="1">
      <c r="A129" s="7" t="s">
        <v>491</v>
      </c>
      <c r="B129" s="7" t="s">
        <v>347</v>
      </c>
      <c r="C129" s="32" t="s">
        <v>492</v>
      </c>
      <c r="D129" s="7" t="s">
        <v>349</v>
      </c>
      <c r="E129" s="8" t="s">
        <v>23</v>
      </c>
      <c r="F129" s="7" t="s">
        <v>350</v>
      </c>
      <c r="G129" s="7" t="s">
        <v>493</v>
      </c>
      <c r="H129" s="9">
        <f t="shared" si="13"/>
        <v>5</v>
      </c>
      <c r="I129" s="7" t="s">
        <v>494</v>
      </c>
      <c r="J129" s="9">
        <f t="shared" si="14"/>
        <v>8</v>
      </c>
      <c r="K129" s="8" t="s">
        <v>353</v>
      </c>
      <c r="L129" s="8" t="s">
        <v>28</v>
      </c>
      <c r="M129" s="10">
        <v>-0.31622776601683794</v>
      </c>
      <c r="N129" s="10">
        <v>0.47950012218695343</v>
      </c>
      <c r="O129" s="11" t="str">
        <f t="shared" si="15"/>
        <v>不校正</v>
      </c>
      <c r="P129" s="8" t="s">
        <v>495</v>
      </c>
      <c r="Q129" s="8" t="s">
        <v>159</v>
      </c>
      <c r="R129" s="8" t="s">
        <v>160</v>
      </c>
      <c r="S129" s="8"/>
    </row>
    <row r="130" spans="1:19" ht="27" customHeight="1">
      <c r="A130" s="7" t="s">
        <v>496</v>
      </c>
      <c r="B130" s="7" t="s">
        <v>347</v>
      </c>
      <c r="C130" s="32" t="s">
        <v>492</v>
      </c>
      <c r="D130" s="7" t="s">
        <v>349</v>
      </c>
      <c r="E130" s="8" t="s">
        <v>23</v>
      </c>
      <c r="F130" s="7" t="s">
        <v>356</v>
      </c>
      <c r="G130" s="7" t="s">
        <v>497</v>
      </c>
      <c r="H130" s="9">
        <f t="shared" si="13"/>
        <v>3</v>
      </c>
      <c r="I130" s="7" t="s">
        <v>498</v>
      </c>
      <c r="J130" s="9">
        <f t="shared" si="14"/>
        <v>5</v>
      </c>
      <c r="K130" s="8" t="s">
        <v>353</v>
      </c>
      <c r="L130" s="8" t="s">
        <v>28</v>
      </c>
      <c r="M130" s="10">
        <v>0.33333333333333331</v>
      </c>
      <c r="N130" s="10">
        <v>0.60150813444058993</v>
      </c>
      <c r="O130" s="11" t="str">
        <f t="shared" si="15"/>
        <v>不校正</v>
      </c>
      <c r="P130" s="8" t="s">
        <v>495</v>
      </c>
      <c r="Q130" s="8" t="s">
        <v>159</v>
      </c>
      <c r="R130" s="8" t="s">
        <v>160</v>
      </c>
      <c r="S130" s="8"/>
    </row>
    <row r="131" spans="1:19" ht="27" customHeight="1">
      <c r="A131" s="7" t="s">
        <v>499</v>
      </c>
      <c r="B131" s="7" t="s">
        <v>347</v>
      </c>
      <c r="C131" s="32" t="s">
        <v>492</v>
      </c>
      <c r="D131" s="7" t="s">
        <v>349</v>
      </c>
      <c r="E131" s="8" t="s">
        <v>81</v>
      </c>
      <c r="F131" s="7" t="s">
        <v>359</v>
      </c>
      <c r="G131" s="7" t="s">
        <v>493</v>
      </c>
      <c r="H131" s="9">
        <f t="shared" si="13"/>
        <v>5</v>
      </c>
      <c r="I131" s="7" t="s">
        <v>500</v>
      </c>
      <c r="J131" s="9">
        <f t="shared" si="14"/>
        <v>3</v>
      </c>
      <c r="K131" s="8" t="s">
        <v>353</v>
      </c>
      <c r="L131" s="8" t="s">
        <v>28</v>
      </c>
      <c r="M131" s="10">
        <v>-0.31622776601683794</v>
      </c>
      <c r="N131" s="10">
        <v>0.47950012218695343</v>
      </c>
      <c r="O131" s="11" t="str">
        <f t="shared" si="15"/>
        <v>不校正</v>
      </c>
      <c r="P131" s="8" t="s">
        <v>501</v>
      </c>
      <c r="Q131" s="8" t="s">
        <v>159</v>
      </c>
      <c r="R131" s="8" t="s">
        <v>160</v>
      </c>
      <c r="S131" s="8"/>
    </row>
    <row r="132" spans="1:19" ht="27" customHeight="1">
      <c r="A132" s="7" t="s">
        <v>502</v>
      </c>
      <c r="B132" s="7" t="s">
        <v>347</v>
      </c>
      <c r="C132" s="32" t="s">
        <v>492</v>
      </c>
      <c r="D132" s="7" t="s">
        <v>363</v>
      </c>
      <c r="E132" s="8" t="s">
        <v>23</v>
      </c>
      <c r="F132" s="7" t="s">
        <v>350</v>
      </c>
      <c r="G132" s="7" t="s">
        <v>503</v>
      </c>
      <c r="H132" s="9">
        <f t="shared" si="13"/>
        <v>5</v>
      </c>
      <c r="I132" s="7" t="s">
        <v>504</v>
      </c>
      <c r="J132" s="9">
        <f t="shared" si="14"/>
        <v>8</v>
      </c>
      <c r="K132" s="8" t="s">
        <v>353</v>
      </c>
      <c r="L132" s="8" t="s">
        <v>28</v>
      </c>
      <c r="M132" s="10">
        <v>-0.2581988897471611</v>
      </c>
      <c r="N132" s="10">
        <v>0.56370286165077299</v>
      </c>
      <c r="O132" s="11" t="str">
        <f t="shared" si="15"/>
        <v>不校正</v>
      </c>
      <c r="P132" s="8" t="s">
        <v>505</v>
      </c>
      <c r="Q132" s="8" t="s">
        <v>159</v>
      </c>
      <c r="R132" s="8" t="s">
        <v>160</v>
      </c>
      <c r="S132" s="8"/>
    </row>
    <row r="133" spans="1:19" ht="27" customHeight="1">
      <c r="A133" s="7" t="s">
        <v>506</v>
      </c>
      <c r="B133" s="7" t="s">
        <v>347</v>
      </c>
      <c r="C133" s="32" t="s">
        <v>492</v>
      </c>
      <c r="D133" s="7" t="s">
        <v>363</v>
      </c>
      <c r="E133" s="8" t="s">
        <v>23</v>
      </c>
      <c r="F133" s="7" t="s">
        <v>356</v>
      </c>
      <c r="G133" s="7" t="s">
        <v>507</v>
      </c>
      <c r="H133" s="9">
        <f t="shared" si="13"/>
        <v>3</v>
      </c>
      <c r="I133" s="7" t="s">
        <v>508</v>
      </c>
      <c r="J133" s="9">
        <f t="shared" si="14"/>
        <v>5</v>
      </c>
      <c r="K133" s="8" t="s">
        <v>353</v>
      </c>
      <c r="L133" s="8" t="s">
        <v>28</v>
      </c>
      <c r="M133" s="10">
        <v>-0.81649658092772615</v>
      </c>
      <c r="N133" s="10">
        <v>0.22067136191984676</v>
      </c>
      <c r="O133" s="11" t="str">
        <f t="shared" si="15"/>
        <v>不校正</v>
      </c>
      <c r="P133" s="8" t="s">
        <v>505</v>
      </c>
      <c r="Q133" s="8" t="s">
        <v>159</v>
      </c>
      <c r="R133" s="8" t="s">
        <v>160</v>
      </c>
      <c r="S133" s="8"/>
    </row>
    <row r="134" spans="1:19" ht="27" customHeight="1">
      <c r="A134" s="7" t="s">
        <v>509</v>
      </c>
      <c r="B134" s="7" t="s">
        <v>347</v>
      </c>
      <c r="C134" s="32" t="s">
        <v>492</v>
      </c>
      <c r="D134" s="7" t="s">
        <v>363</v>
      </c>
      <c r="E134" s="8" t="s">
        <v>81</v>
      </c>
      <c r="F134" s="7" t="s">
        <v>359</v>
      </c>
      <c r="G134" s="7" t="s">
        <v>503</v>
      </c>
      <c r="H134" s="9">
        <f t="shared" si="13"/>
        <v>5</v>
      </c>
      <c r="I134" s="7" t="s">
        <v>510</v>
      </c>
      <c r="J134" s="9">
        <f t="shared" si="14"/>
        <v>3</v>
      </c>
      <c r="K134" s="8" t="s">
        <v>353</v>
      </c>
      <c r="L134" s="8" t="s">
        <v>28</v>
      </c>
      <c r="M134" s="10">
        <v>-0.2581988897471611</v>
      </c>
      <c r="N134" s="10">
        <v>0.56370286165077299</v>
      </c>
      <c r="O134" s="11" t="str">
        <f t="shared" si="15"/>
        <v>不校正</v>
      </c>
      <c r="P134" s="8" t="s">
        <v>511</v>
      </c>
      <c r="Q134" s="8" t="s">
        <v>159</v>
      </c>
      <c r="R134" s="8" t="s">
        <v>160</v>
      </c>
      <c r="S134" s="8"/>
    </row>
    <row r="135" spans="1:19" ht="27" customHeight="1">
      <c r="A135" s="7" t="s">
        <v>512</v>
      </c>
      <c r="B135" s="7" t="s">
        <v>347</v>
      </c>
      <c r="C135" s="32" t="s">
        <v>492</v>
      </c>
      <c r="D135" s="7" t="s">
        <v>372</v>
      </c>
      <c r="E135" s="8" t="s">
        <v>23</v>
      </c>
      <c r="F135" s="7" t="s">
        <v>350</v>
      </c>
      <c r="G135" s="7" t="s">
        <v>513</v>
      </c>
      <c r="H135" s="9">
        <f t="shared" si="13"/>
        <v>5</v>
      </c>
      <c r="I135" s="7" t="s">
        <v>514</v>
      </c>
      <c r="J135" s="9">
        <f t="shared" si="14"/>
        <v>8</v>
      </c>
      <c r="K135" s="8" t="s">
        <v>353</v>
      </c>
      <c r="L135" s="8" t="s">
        <v>101</v>
      </c>
      <c r="M135" s="10">
        <v>-0.11952286093343936</v>
      </c>
      <c r="N135" s="10">
        <v>0.7815112949987133</v>
      </c>
      <c r="O135" s="11" t="str">
        <f t="shared" si="15"/>
        <v>不校正</v>
      </c>
      <c r="P135" s="8" t="s">
        <v>515</v>
      </c>
      <c r="Q135" s="8" t="s">
        <v>159</v>
      </c>
      <c r="R135" s="8" t="s">
        <v>160</v>
      </c>
      <c r="S135" s="8"/>
    </row>
    <row r="136" spans="1:19" ht="27" customHeight="1">
      <c r="A136" s="7" t="s">
        <v>516</v>
      </c>
      <c r="B136" s="7" t="s">
        <v>347</v>
      </c>
      <c r="C136" s="32" t="s">
        <v>492</v>
      </c>
      <c r="D136" s="7" t="s">
        <v>372</v>
      </c>
      <c r="E136" s="8" t="s">
        <v>23</v>
      </c>
      <c r="F136" s="7" t="s">
        <v>356</v>
      </c>
      <c r="G136" s="7" t="s">
        <v>440</v>
      </c>
      <c r="H136" s="9">
        <f t="shared" si="13"/>
        <v>3</v>
      </c>
      <c r="I136" s="7" t="s">
        <v>401</v>
      </c>
      <c r="J136" s="9">
        <f t="shared" si="14"/>
        <v>5</v>
      </c>
      <c r="K136" s="8" t="s">
        <v>353</v>
      </c>
      <c r="L136" s="8" t="s">
        <v>101</v>
      </c>
      <c r="M136" s="10">
        <v>0</v>
      </c>
      <c r="N136" s="10">
        <v>1</v>
      </c>
      <c r="O136" s="11" t="str">
        <f t="shared" si="15"/>
        <v>不校正</v>
      </c>
      <c r="P136" s="8" t="s">
        <v>515</v>
      </c>
      <c r="Q136" s="8" t="s">
        <v>159</v>
      </c>
      <c r="R136" s="8" t="s">
        <v>160</v>
      </c>
      <c r="S136" s="8"/>
    </row>
    <row r="137" spans="1:19" ht="27" customHeight="1">
      <c r="A137" s="7" t="s">
        <v>517</v>
      </c>
      <c r="B137" s="7" t="s">
        <v>347</v>
      </c>
      <c r="C137" s="32" t="s">
        <v>492</v>
      </c>
      <c r="D137" s="7" t="s">
        <v>372</v>
      </c>
      <c r="E137" s="8" t="s">
        <v>81</v>
      </c>
      <c r="F137" s="7" t="s">
        <v>359</v>
      </c>
      <c r="G137" s="7" t="s">
        <v>513</v>
      </c>
      <c r="H137" s="9">
        <f t="shared" si="13"/>
        <v>5</v>
      </c>
      <c r="I137" s="7" t="s">
        <v>328</v>
      </c>
      <c r="J137" s="9">
        <f t="shared" si="14"/>
        <v>3</v>
      </c>
      <c r="K137" s="8" t="s">
        <v>353</v>
      </c>
      <c r="L137" s="8" t="s">
        <v>101</v>
      </c>
      <c r="M137" s="10">
        <v>-0.11952286093343936</v>
      </c>
      <c r="N137" s="10">
        <v>0.7815112949987133</v>
      </c>
      <c r="O137" s="11" t="str">
        <f t="shared" si="15"/>
        <v>不校正</v>
      </c>
      <c r="P137" s="8" t="s">
        <v>518</v>
      </c>
      <c r="Q137" s="8" t="s">
        <v>159</v>
      </c>
      <c r="R137" s="8" t="s">
        <v>160</v>
      </c>
      <c r="S137" s="8"/>
    </row>
    <row r="138" spans="1:19" ht="27" customHeight="1">
      <c r="A138" s="7" t="s">
        <v>519</v>
      </c>
      <c r="B138" s="7" t="s">
        <v>347</v>
      </c>
      <c r="C138" s="32" t="s">
        <v>348</v>
      </c>
      <c r="D138" s="7" t="s">
        <v>520</v>
      </c>
      <c r="E138" s="8" t="s">
        <v>23</v>
      </c>
      <c r="F138" s="7" t="s">
        <v>350</v>
      </c>
      <c r="G138" s="7" t="s">
        <v>401</v>
      </c>
      <c r="H138" s="9">
        <f t="shared" si="13"/>
        <v>5</v>
      </c>
      <c r="I138" s="7" t="s">
        <v>521</v>
      </c>
      <c r="J138" s="9">
        <f t="shared" si="14"/>
        <v>5</v>
      </c>
      <c r="K138" s="8" t="s">
        <v>64</v>
      </c>
      <c r="L138" s="8" t="s">
        <v>28</v>
      </c>
      <c r="M138" s="20"/>
      <c r="N138" s="20"/>
      <c r="O138" s="21" t="s">
        <v>190</v>
      </c>
      <c r="P138" s="8" t="s">
        <v>522</v>
      </c>
      <c r="Q138" s="8" t="s">
        <v>159</v>
      </c>
      <c r="R138" s="8" t="s">
        <v>160</v>
      </c>
      <c r="S138" s="8" t="s">
        <v>192</v>
      </c>
    </row>
    <row r="139" spans="1:19" ht="27" customHeight="1">
      <c r="A139" s="7" t="s">
        <v>523</v>
      </c>
      <c r="B139" s="7" t="s">
        <v>347</v>
      </c>
      <c r="C139" s="32" t="s">
        <v>348</v>
      </c>
      <c r="D139" s="7" t="s">
        <v>520</v>
      </c>
      <c r="E139" s="8" t="s">
        <v>23</v>
      </c>
      <c r="F139" s="7" t="s">
        <v>356</v>
      </c>
      <c r="G139" s="7" t="s">
        <v>328</v>
      </c>
      <c r="H139" s="9">
        <f t="shared" si="13"/>
        <v>3</v>
      </c>
      <c r="I139" s="7" t="s">
        <v>524</v>
      </c>
      <c r="J139" s="9">
        <f t="shared" si="14"/>
        <v>6</v>
      </c>
      <c r="K139" s="8" t="s">
        <v>64</v>
      </c>
      <c r="L139" s="8" t="s">
        <v>28</v>
      </c>
      <c r="M139" s="20"/>
      <c r="N139" s="20"/>
      <c r="O139" s="21" t="s">
        <v>190</v>
      </c>
      <c r="P139" s="8" t="s">
        <v>522</v>
      </c>
      <c r="Q139" s="8" t="s">
        <v>159</v>
      </c>
      <c r="R139" s="8" t="s">
        <v>160</v>
      </c>
      <c r="S139" s="8" t="s">
        <v>192</v>
      </c>
    </row>
    <row r="140" spans="1:19" ht="27" customHeight="1">
      <c r="A140" s="7" t="s">
        <v>525</v>
      </c>
      <c r="B140" s="7" t="s">
        <v>347</v>
      </c>
      <c r="C140" s="32" t="s">
        <v>348</v>
      </c>
      <c r="D140" s="7" t="s">
        <v>520</v>
      </c>
      <c r="E140" s="8" t="s">
        <v>81</v>
      </c>
      <c r="F140" s="7" t="s">
        <v>359</v>
      </c>
      <c r="G140" s="7" t="s">
        <v>401</v>
      </c>
      <c r="H140" s="9">
        <f t="shared" si="13"/>
        <v>5</v>
      </c>
      <c r="I140" s="7" t="s">
        <v>526</v>
      </c>
      <c r="J140" s="9">
        <f t="shared" si="14"/>
        <v>3</v>
      </c>
      <c r="K140" s="8" t="s">
        <v>64</v>
      </c>
      <c r="L140" s="8" t="s">
        <v>28</v>
      </c>
      <c r="M140" s="20"/>
      <c r="N140" s="20"/>
      <c r="O140" s="21" t="s">
        <v>190</v>
      </c>
      <c r="P140" s="8" t="s">
        <v>527</v>
      </c>
      <c r="Q140" s="8" t="s">
        <v>159</v>
      </c>
      <c r="R140" s="8" t="s">
        <v>160</v>
      </c>
      <c r="S140" s="8" t="s">
        <v>192</v>
      </c>
    </row>
    <row r="141" spans="1:19" ht="27" customHeight="1">
      <c r="A141" s="7" t="s">
        <v>528</v>
      </c>
      <c r="B141" s="7" t="s">
        <v>347</v>
      </c>
      <c r="C141" s="32" t="s">
        <v>382</v>
      </c>
      <c r="D141" s="7" t="s">
        <v>520</v>
      </c>
      <c r="E141" s="8" t="s">
        <v>23</v>
      </c>
      <c r="F141" s="7" t="s">
        <v>350</v>
      </c>
      <c r="G141" s="7" t="s">
        <v>529</v>
      </c>
      <c r="H141" s="9">
        <f t="shared" si="13"/>
        <v>5</v>
      </c>
      <c r="I141" s="7" t="s">
        <v>530</v>
      </c>
      <c r="J141" s="9">
        <f t="shared" si="14"/>
        <v>6</v>
      </c>
      <c r="K141" s="8" t="s">
        <v>64</v>
      </c>
      <c r="L141" s="8" t="s">
        <v>28</v>
      </c>
      <c r="M141" s="10">
        <v>0</v>
      </c>
      <c r="N141" s="10">
        <v>1</v>
      </c>
      <c r="O141" s="11" t="str">
        <f>IF(AND(N141&lt;0.05,OR(AND(L141="升高改善",M141&gt;0),AND(L141="降低改善",M141&lt;0))),"校正","不校正")</f>
        <v>不校正</v>
      </c>
      <c r="P141" s="8" t="s">
        <v>531</v>
      </c>
      <c r="Q141" s="8" t="s">
        <v>159</v>
      </c>
      <c r="R141" s="8" t="s">
        <v>160</v>
      </c>
      <c r="S141" s="8"/>
    </row>
    <row r="142" spans="1:19" ht="27" customHeight="1">
      <c r="A142" s="7" t="s">
        <v>532</v>
      </c>
      <c r="B142" s="7" t="s">
        <v>347</v>
      </c>
      <c r="C142" s="32" t="s">
        <v>382</v>
      </c>
      <c r="D142" s="7" t="s">
        <v>520</v>
      </c>
      <c r="E142" s="8" t="s">
        <v>23</v>
      </c>
      <c r="F142" s="7" t="s">
        <v>356</v>
      </c>
      <c r="G142" s="7" t="s">
        <v>328</v>
      </c>
      <c r="H142" s="9">
        <f t="shared" si="13"/>
        <v>3</v>
      </c>
      <c r="I142" s="7" t="s">
        <v>533</v>
      </c>
      <c r="J142" s="9">
        <f t="shared" si="14"/>
        <v>5</v>
      </c>
      <c r="K142" s="8" t="s">
        <v>64</v>
      </c>
      <c r="L142" s="8" t="s">
        <v>28</v>
      </c>
      <c r="M142" s="20"/>
      <c r="N142" s="20"/>
      <c r="O142" s="21" t="s">
        <v>190</v>
      </c>
      <c r="P142" s="8" t="s">
        <v>531</v>
      </c>
      <c r="Q142" s="8" t="s">
        <v>159</v>
      </c>
      <c r="R142" s="8" t="s">
        <v>160</v>
      </c>
      <c r="S142" s="8" t="s">
        <v>192</v>
      </c>
    </row>
    <row r="143" spans="1:19" ht="27" customHeight="1">
      <c r="A143" s="7" t="s">
        <v>534</v>
      </c>
      <c r="B143" s="7" t="s">
        <v>347</v>
      </c>
      <c r="C143" s="32" t="s">
        <v>382</v>
      </c>
      <c r="D143" s="7" t="s">
        <v>520</v>
      </c>
      <c r="E143" s="8" t="s">
        <v>81</v>
      </c>
      <c r="F143" s="7" t="s">
        <v>359</v>
      </c>
      <c r="G143" s="7" t="s">
        <v>529</v>
      </c>
      <c r="H143" s="9">
        <f t="shared" si="13"/>
        <v>5</v>
      </c>
      <c r="I143" s="7" t="s">
        <v>535</v>
      </c>
      <c r="J143" s="9">
        <f t="shared" si="14"/>
        <v>3</v>
      </c>
      <c r="K143" s="8" t="s">
        <v>64</v>
      </c>
      <c r="L143" s="8" t="s">
        <v>28</v>
      </c>
      <c r="M143" s="10">
        <v>0</v>
      </c>
      <c r="N143" s="10">
        <v>1</v>
      </c>
      <c r="O143" s="11" t="str">
        <f>IF(AND(N143&lt;0.05,OR(AND(L143="升高改善",M143&gt;0),AND(L143="降低改善",M143&lt;0))),"校正","不校正")</f>
        <v>不校正</v>
      </c>
      <c r="P143" s="8" t="s">
        <v>536</v>
      </c>
      <c r="Q143" s="8" t="s">
        <v>159</v>
      </c>
      <c r="R143" s="8" t="s">
        <v>160</v>
      </c>
      <c r="S143" s="8"/>
    </row>
    <row r="144" spans="1:19" ht="27" customHeight="1">
      <c r="A144" s="7" t="s">
        <v>537</v>
      </c>
      <c r="B144" s="7" t="s">
        <v>347</v>
      </c>
      <c r="C144" s="32" t="s">
        <v>410</v>
      </c>
      <c r="D144" s="7" t="s">
        <v>520</v>
      </c>
      <c r="E144" s="8" t="s">
        <v>23</v>
      </c>
      <c r="F144" s="7" t="s">
        <v>350</v>
      </c>
      <c r="G144" s="7" t="s">
        <v>538</v>
      </c>
      <c r="H144" s="9">
        <f t="shared" si="13"/>
        <v>5</v>
      </c>
      <c r="I144" s="7" t="s">
        <v>539</v>
      </c>
      <c r="J144" s="9">
        <f t="shared" si="14"/>
        <v>8</v>
      </c>
      <c r="K144" s="8" t="s">
        <v>64</v>
      </c>
      <c r="L144" s="8" t="s">
        <v>28</v>
      </c>
      <c r="M144" s="10">
        <v>-0.31622776601683794</v>
      </c>
      <c r="N144" s="10">
        <v>0.47950012218695343</v>
      </c>
      <c r="O144" s="11" t="str">
        <f>IF(AND(N144&lt;0.05,OR(AND(L144="升高改善",M144&gt;0),AND(L144="降低改善",M144&lt;0))),"校正","不校正")</f>
        <v>不校正</v>
      </c>
      <c r="P144" s="8" t="s">
        <v>540</v>
      </c>
      <c r="Q144" s="8" t="s">
        <v>159</v>
      </c>
      <c r="R144" s="8" t="s">
        <v>160</v>
      </c>
      <c r="S144" s="8"/>
    </row>
    <row r="145" spans="1:19" ht="27" customHeight="1">
      <c r="A145" s="7" t="s">
        <v>541</v>
      </c>
      <c r="B145" s="7" t="s">
        <v>347</v>
      </c>
      <c r="C145" s="32" t="s">
        <v>410</v>
      </c>
      <c r="D145" s="7" t="s">
        <v>520</v>
      </c>
      <c r="E145" s="8" t="s">
        <v>23</v>
      </c>
      <c r="F145" s="7" t="s">
        <v>356</v>
      </c>
      <c r="G145" s="7" t="s">
        <v>328</v>
      </c>
      <c r="H145" s="9">
        <f t="shared" si="13"/>
        <v>3</v>
      </c>
      <c r="I145" s="7" t="s">
        <v>542</v>
      </c>
      <c r="J145" s="9">
        <f t="shared" si="14"/>
        <v>5</v>
      </c>
      <c r="K145" s="8" t="s">
        <v>64</v>
      </c>
      <c r="L145" s="8" t="s">
        <v>28</v>
      </c>
      <c r="M145" s="20"/>
      <c r="N145" s="20"/>
      <c r="O145" s="21" t="s">
        <v>190</v>
      </c>
      <c r="P145" s="8" t="s">
        <v>540</v>
      </c>
      <c r="Q145" s="8" t="s">
        <v>159</v>
      </c>
      <c r="R145" s="8" t="s">
        <v>160</v>
      </c>
      <c r="S145" s="8" t="s">
        <v>192</v>
      </c>
    </row>
    <row r="146" spans="1:19" ht="27" customHeight="1">
      <c r="A146" s="7" t="s">
        <v>543</v>
      </c>
      <c r="B146" s="7" t="s">
        <v>347</v>
      </c>
      <c r="C146" s="32" t="s">
        <v>410</v>
      </c>
      <c r="D146" s="7" t="s">
        <v>520</v>
      </c>
      <c r="E146" s="8" t="s">
        <v>81</v>
      </c>
      <c r="F146" s="7" t="s">
        <v>359</v>
      </c>
      <c r="G146" s="7" t="s">
        <v>538</v>
      </c>
      <c r="H146" s="9">
        <f t="shared" si="13"/>
        <v>5</v>
      </c>
      <c r="I146" s="7" t="s">
        <v>544</v>
      </c>
      <c r="J146" s="9">
        <f t="shared" si="14"/>
        <v>3</v>
      </c>
      <c r="K146" s="8" t="s">
        <v>64</v>
      </c>
      <c r="L146" s="8" t="s">
        <v>28</v>
      </c>
      <c r="M146" s="10">
        <v>-0.31622776601683794</v>
      </c>
      <c r="N146" s="10">
        <v>0.47950012218695343</v>
      </c>
      <c r="O146" s="11" t="str">
        <f>IF(AND(N146&lt;0.05,OR(AND(L146="升高改善",M146&gt;0),AND(L146="降低改善",M146&lt;0))),"校正","不校正")</f>
        <v>不校正</v>
      </c>
      <c r="P146" s="8" t="s">
        <v>545</v>
      </c>
      <c r="Q146" s="8" t="s">
        <v>159</v>
      </c>
      <c r="R146" s="8" t="s">
        <v>160</v>
      </c>
      <c r="S146" s="8"/>
    </row>
    <row r="147" spans="1:19" ht="27" customHeight="1">
      <c r="A147" s="7" t="s">
        <v>546</v>
      </c>
      <c r="B147" s="7" t="s">
        <v>347</v>
      </c>
      <c r="C147" s="32" t="s">
        <v>436</v>
      </c>
      <c r="D147" s="7" t="s">
        <v>520</v>
      </c>
      <c r="E147" s="8" t="s">
        <v>23</v>
      </c>
      <c r="F147" s="7" t="s">
        <v>350</v>
      </c>
      <c r="G147" s="7" t="s">
        <v>547</v>
      </c>
      <c r="H147" s="9">
        <f t="shared" si="13"/>
        <v>5</v>
      </c>
      <c r="I147" s="7" t="s">
        <v>548</v>
      </c>
      <c r="J147" s="9">
        <f t="shared" si="14"/>
        <v>5</v>
      </c>
      <c r="K147" s="8" t="s">
        <v>64</v>
      </c>
      <c r="L147" s="8" t="s">
        <v>28</v>
      </c>
      <c r="M147" s="10">
        <v>0.31622776601683794</v>
      </c>
      <c r="N147" s="10">
        <v>0.47950012218695343</v>
      </c>
      <c r="O147" s="11" t="str">
        <f>IF(AND(N147&lt;0.05,OR(AND(L147="升高改善",M147&gt;0),AND(L147="降低改善",M147&lt;0))),"校正","不校正")</f>
        <v>不校正</v>
      </c>
      <c r="P147" s="8" t="s">
        <v>549</v>
      </c>
      <c r="Q147" s="8" t="s">
        <v>159</v>
      </c>
      <c r="R147" s="8" t="s">
        <v>160</v>
      </c>
      <c r="S147" s="8"/>
    </row>
    <row r="148" spans="1:19" ht="27" customHeight="1">
      <c r="A148" s="7" t="s">
        <v>550</v>
      </c>
      <c r="B148" s="7" t="s">
        <v>347</v>
      </c>
      <c r="C148" s="32" t="s">
        <v>436</v>
      </c>
      <c r="D148" s="7" t="s">
        <v>520</v>
      </c>
      <c r="E148" s="8" t="s">
        <v>23</v>
      </c>
      <c r="F148" s="7" t="s">
        <v>356</v>
      </c>
      <c r="G148" s="7" t="s">
        <v>551</v>
      </c>
      <c r="H148" s="9">
        <f t="shared" ref="H148:H179" si="16">IF(LEN(G148)=0,"",IF(ISNUMBER(SEARCH(",",G148)),LEN(SUBSTITUTE(G148,",","xx"))-LEN(G148)+1,1))</f>
        <v>3</v>
      </c>
      <c r="I148" s="7" t="s">
        <v>552</v>
      </c>
      <c r="J148" s="9">
        <f t="shared" ref="J148:J179" si="17">IF(LEN(I148)=0,"",IF(ISNUMBER(SEARCH(",",I148)),LEN(SUBSTITUTE(I148,",","xx"))-LEN(I148)+1,1))</f>
        <v>6</v>
      </c>
      <c r="K148" s="8" t="s">
        <v>64</v>
      </c>
      <c r="L148" s="8" t="s">
        <v>28</v>
      </c>
      <c r="M148" s="10">
        <v>0</v>
      </c>
      <c r="N148" s="10">
        <v>1</v>
      </c>
      <c r="O148" s="11" t="str">
        <f>IF(AND(N148&lt;0.05,OR(AND(L148="升高改善",M148&gt;0),AND(L148="降低改善",M148&lt;0))),"校正","不校正")</f>
        <v>不校正</v>
      </c>
      <c r="P148" s="8" t="s">
        <v>549</v>
      </c>
      <c r="Q148" s="8" t="s">
        <v>159</v>
      </c>
      <c r="R148" s="8" t="s">
        <v>160</v>
      </c>
      <c r="S148" s="8"/>
    </row>
    <row r="149" spans="1:19" ht="27" customHeight="1">
      <c r="A149" s="7" t="s">
        <v>553</v>
      </c>
      <c r="B149" s="7" t="s">
        <v>347</v>
      </c>
      <c r="C149" s="32" t="s">
        <v>436</v>
      </c>
      <c r="D149" s="7" t="s">
        <v>520</v>
      </c>
      <c r="E149" s="8" t="s">
        <v>81</v>
      </c>
      <c r="F149" s="7" t="s">
        <v>359</v>
      </c>
      <c r="G149" s="7" t="s">
        <v>547</v>
      </c>
      <c r="H149" s="9">
        <f t="shared" si="16"/>
        <v>5</v>
      </c>
      <c r="I149" s="7" t="s">
        <v>554</v>
      </c>
      <c r="J149" s="9">
        <f t="shared" si="17"/>
        <v>3</v>
      </c>
      <c r="K149" s="8" t="s">
        <v>64</v>
      </c>
      <c r="L149" s="8" t="s">
        <v>28</v>
      </c>
      <c r="M149" s="10">
        <v>0.31622776601683794</v>
      </c>
      <c r="N149" s="10">
        <v>0.47950012218695343</v>
      </c>
      <c r="O149" s="11" t="str">
        <f>IF(AND(N149&lt;0.05,OR(AND(L149="升高改善",M149&gt;0),AND(L149="降低改善",M149&lt;0))),"校正","不校正")</f>
        <v>不校正</v>
      </c>
      <c r="P149" s="8" t="s">
        <v>555</v>
      </c>
      <c r="Q149" s="8" t="s">
        <v>159</v>
      </c>
      <c r="R149" s="8" t="s">
        <v>160</v>
      </c>
      <c r="S149" s="8"/>
    </row>
    <row r="150" spans="1:19" ht="27" customHeight="1">
      <c r="A150" s="7" t="s">
        <v>556</v>
      </c>
      <c r="B150" s="7" t="s">
        <v>347</v>
      </c>
      <c r="C150" s="32" t="s">
        <v>464</v>
      </c>
      <c r="D150" s="7" t="s">
        <v>520</v>
      </c>
      <c r="E150" s="8" t="s">
        <v>23</v>
      </c>
      <c r="F150" s="7" t="s">
        <v>350</v>
      </c>
      <c r="G150" s="7" t="s">
        <v>557</v>
      </c>
      <c r="H150" s="9">
        <f t="shared" si="16"/>
        <v>5</v>
      </c>
      <c r="I150" s="7" t="s">
        <v>558</v>
      </c>
      <c r="J150" s="9">
        <f t="shared" si="17"/>
        <v>6</v>
      </c>
      <c r="K150" s="8" t="s">
        <v>64</v>
      </c>
      <c r="L150" s="8" t="s">
        <v>28</v>
      </c>
      <c r="M150" s="10">
        <v>-0.31622776601683794</v>
      </c>
      <c r="N150" s="10">
        <v>0.47950012218695343</v>
      </c>
      <c r="O150" s="11" t="str">
        <f>IF(AND(N150&lt;0.05,OR(AND(L150="升高改善",M150&gt;0),AND(L150="降低改善",M150&lt;0))),"校正","不校正")</f>
        <v>不校正</v>
      </c>
      <c r="P150" s="8" t="s">
        <v>559</v>
      </c>
      <c r="Q150" s="8" t="s">
        <v>159</v>
      </c>
      <c r="R150" s="8" t="s">
        <v>160</v>
      </c>
      <c r="S150" s="8"/>
    </row>
    <row r="151" spans="1:19" ht="27" customHeight="1">
      <c r="A151" s="7" t="s">
        <v>560</v>
      </c>
      <c r="B151" s="7" t="s">
        <v>347</v>
      </c>
      <c r="C151" s="32" t="s">
        <v>464</v>
      </c>
      <c r="D151" s="7" t="s">
        <v>520</v>
      </c>
      <c r="E151" s="8" t="s">
        <v>23</v>
      </c>
      <c r="F151" s="7" t="s">
        <v>356</v>
      </c>
      <c r="G151" s="7" t="s">
        <v>328</v>
      </c>
      <c r="H151" s="9">
        <f t="shared" si="16"/>
        <v>3</v>
      </c>
      <c r="I151" s="7" t="s">
        <v>561</v>
      </c>
      <c r="J151" s="9">
        <f t="shared" si="17"/>
        <v>5</v>
      </c>
      <c r="K151" s="8" t="s">
        <v>64</v>
      </c>
      <c r="L151" s="8" t="s">
        <v>28</v>
      </c>
      <c r="M151" s="20"/>
      <c r="N151" s="20"/>
      <c r="O151" s="21" t="s">
        <v>190</v>
      </c>
      <c r="P151" s="8" t="s">
        <v>559</v>
      </c>
      <c r="Q151" s="8" t="s">
        <v>159</v>
      </c>
      <c r="R151" s="8" t="s">
        <v>160</v>
      </c>
      <c r="S151" s="8" t="s">
        <v>192</v>
      </c>
    </row>
    <row r="152" spans="1:19" ht="27" customHeight="1">
      <c r="A152" s="7" t="s">
        <v>562</v>
      </c>
      <c r="B152" s="7" t="s">
        <v>347</v>
      </c>
      <c r="C152" s="32" t="s">
        <v>464</v>
      </c>
      <c r="D152" s="7" t="s">
        <v>520</v>
      </c>
      <c r="E152" s="8" t="s">
        <v>81</v>
      </c>
      <c r="F152" s="7" t="s">
        <v>359</v>
      </c>
      <c r="G152" s="7" t="s">
        <v>557</v>
      </c>
      <c r="H152" s="9">
        <f t="shared" si="16"/>
        <v>5</v>
      </c>
      <c r="I152" s="7" t="s">
        <v>563</v>
      </c>
      <c r="J152" s="9">
        <f t="shared" si="17"/>
        <v>3</v>
      </c>
      <c r="K152" s="8" t="s">
        <v>64</v>
      </c>
      <c r="L152" s="8" t="s">
        <v>28</v>
      </c>
      <c r="M152" s="10">
        <v>-0.31622776601683794</v>
      </c>
      <c r="N152" s="10">
        <v>0.47950012218695343</v>
      </c>
      <c r="O152" s="11" t="str">
        <f>IF(AND(N152&lt;0.05,OR(AND(L152="升高改善",M152&gt;0),AND(L152="降低改善",M152&lt;0))),"校正","不校正")</f>
        <v>不校正</v>
      </c>
      <c r="P152" s="8" t="s">
        <v>564</v>
      </c>
      <c r="Q152" s="8" t="s">
        <v>159</v>
      </c>
      <c r="R152" s="8" t="s">
        <v>160</v>
      </c>
      <c r="S152" s="8"/>
    </row>
    <row r="153" spans="1:19" ht="27" customHeight="1">
      <c r="A153" s="7" t="s">
        <v>565</v>
      </c>
      <c r="B153" s="7" t="s">
        <v>347</v>
      </c>
      <c r="C153" s="32" t="s">
        <v>492</v>
      </c>
      <c r="D153" s="7" t="s">
        <v>520</v>
      </c>
      <c r="E153" s="8" t="s">
        <v>23</v>
      </c>
      <c r="F153" s="7" t="s">
        <v>350</v>
      </c>
      <c r="G153" s="7" t="s">
        <v>566</v>
      </c>
      <c r="H153" s="9">
        <f t="shared" si="16"/>
        <v>5</v>
      </c>
      <c r="I153" s="7" t="s">
        <v>567</v>
      </c>
      <c r="J153" s="9">
        <f t="shared" si="17"/>
        <v>8</v>
      </c>
      <c r="K153" s="8" t="s">
        <v>64</v>
      </c>
      <c r="L153" s="8" t="s">
        <v>28</v>
      </c>
      <c r="M153" s="10">
        <v>-0.22360679774997896</v>
      </c>
      <c r="N153" s="10">
        <v>0.60150813444058993</v>
      </c>
      <c r="O153" s="11" t="str">
        <f>IF(AND(N153&lt;0.05,OR(AND(L153="升高改善",M153&gt;0),AND(L153="降低改善",M153&lt;0))),"校正","不校正")</f>
        <v>不校正</v>
      </c>
      <c r="P153" s="8" t="s">
        <v>568</v>
      </c>
      <c r="Q153" s="8" t="s">
        <v>159</v>
      </c>
      <c r="R153" s="8" t="s">
        <v>160</v>
      </c>
      <c r="S153" s="8"/>
    </row>
    <row r="154" spans="1:19" ht="27" customHeight="1">
      <c r="A154" s="7" t="s">
        <v>569</v>
      </c>
      <c r="B154" s="7" t="s">
        <v>347</v>
      </c>
      <c r="C154" s="32" t="s">
        <v>492</v>
      </c>
      <c r="D154" s="7" t="s">
        <v>520</v>
      </c>
      <c r="E154" s="8" t="s">
        <v>23</v>
      </c>
      <c r="F154" s="7" t="s">
        <v>356</v>
      </c>
      <c r="G154" s="7" t="s">
        <v>570</v>
      </c>
      <c r="H154" s="9">
        <f t="shared" si="16"/>
        <v>3</v>
      </c>
      <c r="I154" s="7" t="s">
        <v>571</v>
      </c>
      <c r="J154" s="9">
        <f t="shared" si="17"/>
        <v>5</v>
      </c>
      <c r="K154" s="8" t="s">
        <v>64</v>
      </c>
      <c r="L154" s="8" t="s">
        <v>28</v>
      </c>
      <c r="M154" s="10">
        <v>0.81649658092772615</v>
      </c>
      <c r="N154" s="10">
        <v>0.22067136191984676</v>
      </c>
      <c r="O154" s="11" t="str">
        <f>IF(AND(N154&lt;0.05,OR(AND(L154="升高改善",M154&gt;0),AND(L154="降低改善",M154&lt;0))),"校正","不校正")</f>
        <v>不校正</v>
      </c>
      <c r="P154" s="8" t="s">
        <v>568</v>
      </c>
      <c r="Q154" s="8" t="s">
        <v>159</v>
      </c>
      <c r="R154" s="8" t="s">
        <v>160</v>
      </c>
      <c r="S154" s="8"/>
    </row>
    <row r="155" spans="1:19" ht="27" customHeight="1">
      <c r="A155" s="7" t="s">
        <v>572</v>
      </c>
      <c r="B155" s="7" t="s">
        <v>347</v>
      </c>
      <c r="C155" s="32" t="s">
        <v>492</v>
      </c>
      <c r="D155" s="7" t="s">
        <v>520</v>
      </c>
      <c r="E155" s="8" t="s">
        <v>81</v>
      </c>
      <c r="F155" s="7" t="s">
        <v>359</v>
      </c>
      <c r="G155" s="7" t="s">
        <v>566</v>
      </c>
      <c r="H155" s="9">
        <f t="shared" si="16"/>
        <v>5</v>
      </c>
      <c r="I155" s="7" t="s">
        <v>573</v>
      </c>
      <c r="J155" s="9">
        <f t="shared" si="17"/>
        <v>3</v>
      </c>
      <c r="K155" s="8" t="s">
        <v>64</v>
      </c>
      <c r="L155" s="8" t="s">
        <v>28</v>
      </c>
      <c r="M155" s="10">
        <v>-0.22360679774997896</v>
      </c>
      <c r="N155" s="10">
        <v>0.60150813444058993</v>
      </c>
      <c r="O155" s="11" t="str">
        <f>IF(AND(N155&lt;0.05,OR(AND(L155="升高改善",M155&gt;0),AND(L155="降低改善",M155&lt;0))),"校正","不校正")</f>
        <v>不校正</v>
      </c>
      <c r="P155" s="8" t="s">
        <v>574</v>
      </c>
      <c r="Q155" s="8" t="s">
        <v>159</v>
      </c>
      <c r="R155" s="8" t="s">
        <v>160</v>
      </c>
      <c r="S155" s="8"/>
    </row>
    <row r="156" spans="1:19" ht="36" customHeight="1">
      <c r="A156" s="12" t="s">
        <v>575</v>
      </c>
      <c r="B156" s="12" t="s">
        <v>576</v>
      </c>
      <c r="C156" s="12" t="s">
        <v>577</v>
      </c>
      <c r="D156" s="12" t="s">
        <v>578</v>
      </c>
      <c r="E156" s="13" t="s">
        <v>23</v>
      </c>
      <c r="F156" s="12" t="s">
        <v>132</v>
      </c>
      <c r="G156" s="33"/>
      <c r="H156" s="34"/>
      <c r="I156" s="33"/>
      <c r="J156" s="34"/>
      <c r="K156" s="13" t="s">
        <v>64</v>
      </c>
      <c r="L156" s="13" t="s">
        <v>28</v>
      </c>
      <c r="M156" s="15"/>
      <c r="N156" s="15"/>
      <c r="O156" s="16"/>
      <c r="P156" s="13" t="s">
        <v>579</v>
      </c>
      <c r="Q156" s="13" t="s">
        <v>159</v>
      </c>
      <c r="R156" s="35" t="s">
        <v>94</v>
      </c>
      <c r="S156" s="13" t="s">
        <v>580</v>
      </c>
    </row>
    <row r="157" spans="1:19" ht="36" customHeight="1">
      <c r="A157" s="17" t="s">
        <v>581</v>
      </c>
      <c r="B157" s="17" t="s">
        <v>576</v>
      </c>
      <c r="C157" s="17" t="s">
        <v>577</v>
      </c>
      <c r="D157" s="17" t="s">
        <v>578</v>
      </c>
      <c r="E157" s="18" t="s">
        <v>81</v>
      </c>
      <c r="F157" s="17" t="s">
        <v>82</v>
      </c>
      <c r="G157" s="22"/>
      <c r="H157" s="23"/>
      <c r="I157" s="22"/>
      <c r="J157" s="23"/>
      <c r="K157" s="18" t="s">
        <v>64</v>
      </c>
      <c r="L157" s="18" t="s">
        <v>28</v>
      </c>
      <c r="M157" s="20"/>
      <c r="N157" s="20"/>
      <c r="O157" s="21"/>
      <c r="P157" s="18" t="s">
        <v>582</v>
      </c>
      <c r="Q157" s="18" t="s">
        <v>159</v>
      </c>
      <c r="R157" s="24" t="s">
        <v>94</v>
      </c>
      <c r="S157" s="18" t="s">
        <v>580</v>
      </c>
    </row>
    <row r="158" spans="1:19" ht="36" customHeight="1">
      <c r="A158" s="17" t="s">
        <v>583</v>
      </c>
      <c r="B158" s="17" t="s">
        <v>576</v>
      </c>
      <c r="C158" s="17" t="s">
        <v>584</v>
      </c>
      <c r="D158" s="17" t="s">
        <v>578</v>
      </c>
      <c r="E158" s="18" t="s">
        <v>23</v>
      </c>
      <c r="F158" s="17" t="s">
        <v>132</v>
      </c>
      <c r="G158" s="17" t="s">
        <v>585</v>
      </c>
      <c r="H158" s="19">
        <f>IF(LEN(G158)=0,"",IF(ISNUMBER(SEARCH(",",G158)),LEN(SUBSTITUTE(G158,",","xx"))-LEN(G158)+1,1))</f>
        <v>6</v>
      </c>
      <c r="I158" s="17" t="s">
        <v>586</v>
      </c>
      <c r="J158" s="19">
        <f>IF(LEN(I158)=0,"",IF(ISNUMBER(SEARCH(",",I158)),LEN(SUBSTITUTE(I158,",","xx"))-LEN(I158)+1,1))</f>
        <v>5</v>
      </c>
      <c r="K158" s="18" t="s">
        <v>64</v>
      </c>
      <c r="L158" s="18" t="s">
        <v>28</v>
      </c>
      <c r="M158" s="27">
        <v>-0.33333333333333331</v>
      </c>
      <c r="N158" s="27">
        <v>0.34755803674116909</v>
      </c>
      <c r="O158" s="28" t="str">
        <f>IF(AND(N158&lt;0.05,OR(AND(L158="升高改善",M158&gt;0),AND(L158="降低改善",M158&lt;0))),"校正","不校正")</f>
        <v>不校正</v>
      </c>
      <c r="P158" s="18" t="s">
        <v>587</v>
      </c>
      <c r="Q158" s="18" t="s">
        <v>159</v>
      </c>
      <c r="R158" s="18" t="s">
        <v>160</v>
      </c>
      <c r="S158" s="18"/>
    </row>
    <row r="159" spans="1:19" ht="36" customHeight="1">
      <c r="A159" s="17" t="s">
        <v>588</v>
      </c>
      <c r="B159" s="17" t="s">
        <v>576</v>
      </c>
      <c r="C159" s="17" t="s">
        <v>589</v>
      </c>
      <c r="D159" s="17" t="s">
        <v>578</v>
      </c>
      <c r="E159" s="18" t="s">
        <v>23</v>
      </c>
      <c r="F159" s="17" t="s">
        <v>132</v>
      </c>
      <c r="G159" s="17" t="s">
        <v>590</v>
      </c>
      <c r="H159" s="19">
        <f>IF(LEN(G159)=0,"",IF(ISNUMBER(SEARCH(",",G159)),LEN(SUBSTITUTE(G159,",","xx"))-LEN(G159)+1,1))</f>
        <v>6</v>
      </c>
      <c r="I159" s="17" t="s">
        <v>591</v>
      </c>
      <c r="J159" s="19">
        <f>IF(LEN(I159)=0,"",IF(ISNUMBER(SEARCH(",",I159)),LEN(SUBSTITUTE(I159,",","xx"))-LEN(I159)+1,1))</f>
        <v>4</v>
      </c>
      <c r="K159" s="18" t="s">
        <v>64</v>
      </c>
      <c r="L159" s="18" t="s">
        <v>28</v>
      </c>
      <c r="M159" s="27">
        <v>-0.41403933560541256</v>
      </c>
      <c r="N159" s="27">
        <v>0.25111800127447359</v>
      </c>
      <c r="O159" s="28" t="str">
        <f>IF(AND(N159&lt;0.05,OR(AND(L159="升高改善",M159&gt;0),AND(L159="降低改善",M159&lt;0))),"校正","不校正")</f>
        <v>不校正</v>
      </c>
      <c r="P159" s="18" t="s">
        <v>592</v>
      </c>
      <c r="Q159" s="18" t="s">
        <v>159</v>
      </c>
      <c r="R159" s="18" t="s">
        <v>160</v>
      </c>
      <c r="S159" s="18"/>
    </row>
    <row r="160" spans="1:19" ht="36" customHeight="1">
      <c r="A160" s="17" t="s">
        <v>593</v>
      </c>
      <c r="B160" s="17" t="s">
        <v>576</v>
      </c>
      <c r="C160" s="17" t="s">
        <v>594</v>
      </c>
      <c r="D160" s="17" t="s">
        <v>578</v>
      </c>
      <c r="E160" s="18" t="s">
        <v>23</v>
      </c>
      <c r="F160" s="17" t="s">
        <v>132</v>
      </c>
      <c r="G160" s="22"/>
      <c r="H160" s="23"/>
      <c r="I160" s="22"/>
      <c r="J160" s="23"/>
      <c r="K160" s="18" t="s">
        <v>64</v>
      </c>
      <c r="L160" s="18" t="s">
        <v>28</v>
      </c>
      <c r="M160" s="20"/>
      <c r="N160" s="20"/>
      <c r="O160" s="21"/>
      <c r="P160" s="18" t="s">
        <v>595</v>
      </c>
      <c r="Q160" s="18" t="s">
        <v>159</v>
      </c>
      <c r="R160" s="24" t="s">
        <v>94</v>
      </c>
      <c r="S160" s="18" t="s">
        <v>596</v>
      </c>
    </row>
    <row r="161" spans="1:19" ht="36" customHeight="1">
      <c r="A161" s="17" t="s">
        <v>597</v>
      </c>
      <c r="B161" s="17" t="s">
        <v>576</v>
      </c>
      <c r="C161" s="17" t="s">
        <v>577</v>
      </c>
      <c r="D161" s="17" t="s">
        <v>598</v>
      </c>
      <c r="E161" s="18" t="s">
        <v>23</v>
      </c>
      <c r="F161" s="17" t="s">
        <v>132</v>
      </c>
      <c r="G161" s="17" t="s">
        <v>599</v>
      </c>
      <c r="H161" s="19">
        <f>IF(LEN(G161)=0,"",IF(ISNUMBER(SEARCH(",",G161)),LEN(SUBSTITUTE(G161,",","xx"))-LEN(G161)+1,1))</f>
        <v>6</v>
      </c>
      <c r="I161" s="17" t="s">
        <v>600</v>
      </c>
      <c r="J161" s="19">
        <f>IF(LEN(I161)=0,"",IF(ISNUMBER(SEARCH(",",I161)),LEN(SUBSTITUTE(I161,",","xx"))-LEN(I161)+1,1))</f>
        <v>8</v>
      </c>
      <c r="K161" s="18" t="s">
        <v>64</v>
      </c>
      <c r="L161" s="18" t="s">
        <v>101</v>
      </c>
      <c r="M161" s="27">
        <v>-0.33333333333333331</v>
      </c>
      <c r="N161" s="27">
        <v>0.34755803674116909</v>
      </c>
      <c r="O161" s="28" t="str">
        <f>IF(AND(N161&lt;0.05,OR(AND(L161="升高改善",M161&gt;0),AND(L161="降低改善",M161&lt;0))),"校正","不校正")</f>
        <v>不校正</v>
      </c>
      <c r="P161" s="18" t="s">
        <v>601</v>
      </c>
      <c r="Q161" s="18" t="s">
        <v>159</v>
      </c>
      <c r="R161" s="18" t="s">
        <v>160</v>
      </c>
      <c r="S161" s="18"/>
    </row>
    <row r="162" spans="1:19" ht="36" customHeight="1">
      <c r="A162" s="17" t="s">
        <v>602</v>
      </c>
      <c r="B162" s="17" t="s">
        <v>576</v>
      </c>
      <c r="C162" s="17" t="s">
        <v>577</v>
      </c>
      <c r="D162" s="17" t="s">
        <v>598</v>
      </c>
      <c r="E162" s="18" t="s">
        <v>81</v>
      </c>
      <c r="F162" s="17" t="s">
        <v>82</v>
      </c>
      <c r="G162" s="17" t="s">
        <v>599</v>
      </c>
      <c r="H162" s="19">
        <f>IF(LEN(G162)=0,"",IF(ISNUMBER(SEARCH(",",G162)),LEN(SUBSTITUTE(G162,",","xx"))-LEN(G162)+1,1))</f>
        <v>6</v>
      </c>
      <c r="I162" s="17" t="s">
        <v>603</v>
      </c>
      <c r="J162" s="19">
        <f>IF(LEN(I162)=0,"",IF(ISNUMBER(SEARCH(",",I162)),LEN(SUBSTITUTE(I162,",","xx"))-LEN(I162)+1,1))</f>
        <v>1</v>
      </c>
      <c r="K162" s="18" t="s">
        <v>64</v>
      </c>
      <c r="L162" s="18" t="s">
        <v>101</v>
      </c>
      <c r="M162" s="27">
        <v>-0.33333333333333331</v>
      </c>
      <c r="N162" s="27">
        <v>0.34755803674116909</v>
      </c>
      <c r="O162" s="28" t="str">
        <f>IF(AND(N162&lt;0.05,OR(AND(L162="升高改善",M162&gt;0),AND(L162="降低改善",M162&lt;0))),"校正","不校正")</f>
        <v>不校正</v>
      </c>
      <c r="P162" s="18" t="s">
        <v>604</v>
      </c>
      <c r="Q162" s="18" t="s">
        <v>159</v>
      </c>
      <c r="R162" s="18" t="s">
        <v>160</v>
      </c>
      <c r="S162" s="18"/>
    </row>
    <row r="163" spans="1:19" ht="36" customHeight="1">
      <c r="A163" s="17" t="s">
        <v>605</v>
      </c>
      <c r="B163" s="17" t="s">
        <v>576</v>
      </c>
      <c r="C163" s="17" t="s">
        <v>584</v>
      </c>
      <c r="D163" s="17" t="s">
        <v>598</v>
      </c>
      <c r="E163" s="18" t="s">
        <v>23</v>
      </c>
      <c r="F163" s="17" t="s">
        <v>132</v>
      </c>
      <c r="G163" s="17" t="s">
        <v>606</v>
      </c>
      <c r="H163" s="19">
        <f>IF(LEN(G163)=0,"",IF(ISNUMBER(SEARCH(",",G163)),LEN(SUBSTITUTE(G163,",","xx"))-LEN(G163)+1,1))</f>
        <v>6</v>
      </c>
      <c r="I163" s="17" t="s">
        <v>607</v>
      </c>
      <c r="J163" s="19">
        <f>IF(LEN(I163)=0,"",IF(ISNUMBER(SEARCH(",",I163)),LEN(SUBSTITUTE(I163,",","xx"))-LEN(I163)+1,1))</f>
        <v>5</v>
      </c>
      <c r="K163" s="18" t="s">
        <v>64</v>
      </c>
      <c r="L163" s="18" t="s">
        <v>101</v>
      </c>
      <c r="M163" s="27">
        <v>-6.6666666666666666E-2</v>
      </c>
      <c r="N163" s="27">
        <v>0.85098068703205576</v>
      </c>
      <c r="O163" s="28" t="str">
        <f>IF(AND(N163&lt;0.05,OR(AND(L163="升高改善",M163&gt;0),AND(L163="降低改善",M163&lt;0))),"校正","不校正")</f>
        <v>不校正</v>
      </c>
      <c r="P163" s="18" t="s">
        <v>608</v>
      </c>
      <c r="Q163" s="18" t="s">
        <v>159</v>
      </c>
      <c r="R163" s="18" t="s">
        <v>160</v>
      </c>
      <c r="S163" s="18"/>
    </row>
    <row r="164" spans="1:19" ht="36" customHeight="1">
      <c r="A164" s="17" t="s">
        <v>609</v>
      </c>
      <c r="B164" s="17" t="s">
        <v>576</v>
      </c>
      <c r="C164" s="17" t="s">
        <v>589</v>
      </c>
      <c r="D164" s="17" t="s">
        <v>598</v>
      </c>
      <c r="E164" s="18" t="s">
        <v>23</v>
      </c>
      <c r="F164" s="17" t="s">
        <v>132</v>
      </c>
      <c r="G164" s="22"/>
      <c r="H164" s="23"/>
      <c r="I164" s="22"/>
      <c r="J164" s="23"/>
      <c r="K164" s="18" t="s">
        <v>64</v>
      </c>
      <c r="L164" s="18" t="s">
        <v>101</v>
      </c>
      <c r="M164" s="20"/>
      <c r="N164" s="20"/>
      <c r="O164" s="21"/>
      <c r="P164" s="18" t="s">
        <v>610</v>
      </c>
      <c r="Q164" s="18" t="s">
        <v>159</v>
      </c>
      <c r="R164" s="24" t="s">
        <v>94</v>
      </c>
      <c r="S164" s="18" t="s">
        <v>611</v>
      </c>
    </row>
    <row r="165" spans="1:19" ht="36" customHeight="1">
      <c r="A165" s="17" t="s">
        <v>612</v>
      </c>
      <c r="B165" s="17" t="s">
        <v>576</v>
      </c>
      <c r="C165" s="17" t="s">
        <v>594</v>
      </c>
      <c r="D165" s="17" t="s">
        <v>598</v>
      </c>
      <c r="E165" s="18" t="s">
        <v>23</v>
      </c>
      <c r="F165" s="17" t="s">
        <v>132</v>
      </c>
      <c r="G165" s="22"/>
      <c r="H165" s="23"/>
      <c r="I165" s="22"/>
      <c r="J165" s="23"/>
      <c r="K165" s="18" t="s">
        <v>64</v>
      </c>
      <c r="L165" s="18" t="s">
        <v>101</v>
      </c>
      <c r="M165" s="20"/>
      <c r="N165" s="20"/>
      <c r="O165" s="21"/>
      <c r="P165" s="18" t="s">
        <v>613</v>
      </c>
      <c r="Q165" s="18" t="s">
        <v>159</v>
      </c>
      <c r="R165" s="24" t="s">
        <v>94</v>
      </c>
      <c r="S165" s="18" t="s">
        <v>614</v>
      </c>
    </row>
    <row r="166" spans="1:19" ht="36" customHeight="1">
      <c r="A166" s="17" t="s">
        <v>615</v>
      </c>
      <c r="B166" s="17" t="s">
        <v>576</v>
      </c>
      <c r="C166" s="17" t="s">
        <v>577</v>
      </c>
      <c r="D166" s="17" t="s">
        <v>616</v>
      </c>
      <c r="E166" s="18" t="s">
        <v>23</v>
      </c>
      <c r="F166" s="17" t="s">
        <v>132</v>
      </c>
      <c r="G166" s="17" t="s">
        <v>617</v>
      </c>
      <c r="H166" s="19">
        <f>IF(LEN(G166)=0,"",IF(ISNUMBER(SEARCH(",",G166)),LEN(SUBSTITUTE(G166,",","xx"))-LEN(G166)+1,1))</f>
        <v>6</v>
      </c>
      <c r="I166" s="17" t="s">
        <v>618</v>
      </c>
      <c r="J166" s="19">
        <f>IF(LEN(I166)=0,"",IF(ISNUMBER(SEARCH(",",I166)),LEN(SUBSTITUTE(I166,",","xx"))-LEN(I166)+1,1))</f>
        <v>7</v>
      </c>
      <c r="K166" s="18" t="s">
        <v>619</v>
      </c>
      <c r="L166" s="18" t="s">
        <v>28</v>
      </c>
      <c r="M166" s="27">
        <v>6.6666666666666666E-2</v>
      </c>
      <c r="N166" s="27">
        <v>0.85098068703205576</v>
      </c>
      <c r="O166" s="28" t="str">
        <f>IF(AND(N166&lt;0.05,OR(AND(L166="升高改善",M166&gt;0),AND(L166="降低改善",M166&lt;0))),"校正","不校正")</f>
        <v>不校正</v>
      </c>
      <c r="P166" s="18" t="s">
        <v>620</v>
      </c>
      <c r="Q166" s="18" t="s">
        <v>159</v>
      </c>
      <c r="R166" s="18" t="s">
        <v>160</v>
      </c>
      <c r="S166" s="18"/>
    </row>
    <row r="167" spans="1:19" ht="36" customHeight="1">
      <c r="A167" s="17" t="s">
        <v>621</v>
      </c>
      <c r="B167" s="17" t="s">
        <v>576</v>
      </c>
      <c r="C167" s="17" t="s">
        <v>577</v>
      </c>
      <c r="D167" s="17" t="s">
        <v>616</v>
      </c>
      <c r="E167" s="18" t="s">
        <v>81</v>
      </c>
      <c r="F167" s="17" t="s">
        <v>82</v>
      </c>
      <c r="G167" s="17" t="s">
        <v>617</v>
      </c>
      <c r="H167" s="19">
        <f>IF(LEN(G167)=0,"",IF(ISNUMBER(SEARCH(",",G167)),LEN(SUBSTITUTE(G167,",","xx"))-LEN(G167)+1,1))</f>
        <v>6</v>
      </c>
      <c r="I167" s="17" t="s">
        <v>622</v>
      </c>
      <c r="J167" s="19">
        <f>IF(LEN(I167)=0,"",IF(ISNUMBER(SEARCH(",",I167)),LEN(SUBSTITUTE(I167,",","xx"))-LEN(I167)+1,1))</f>
        <v>1</v>
      </c>
      <c r="K167" s="18" t="s">
        <v>619</v>
      </c>
      <c r="L167" s="18" t="s">
        <v>28</v>
      </c>
      <c r="M167" s="27">
        <v>6.6666666666666666E-2</v>
      </c>
      <c r="N167" s="27">
        <v>0.85098068703205576</v>
      </c>
      <c r="O167" s="28" t="str">
        <f>IF(AND(N167&lt;0.05,OR(AND(L167="升高改善",M167&gt;0),AND(L167="降低改善",M167&lt;0))),"校正","不校正")</f>
        <v>不校正</v>
      </c>
      <c r="P167" s="18" t="s">
        <v>623</v>
      </c>
      <c r="Q167" s="18" t="s">
        <v>159</v>
      </c>
      <c r="R167" s="18" t="s">
        <v>160</v>
      </c>
      <c r="S167" s="18"/>
    </row>
    <row r="168" spans="1:19" ht="36" customHeight="1">
      <c r="A168" s="17" t="s">
        <v>624</v>
      </c>
      <c r="B168" s="17" t="s">
        <v>576</v>
      </c>
      <c r="C168" s="17" t="s">
        <v>584</v>
      </c>
      <c r="D168" s="17" t="s">
        <v>616</v>
      </c>
      <c r="E168" s="18" t="s">
        <v>23</v>
      </c>
      <c r="F168" s="17" t="s">
        <v>132</v>
      </c>
      <c r="G168" s="17" t="s">
        <v>625</v>
      </c>
      <c r="H168" s="19">
        <f>IF(LEN(G168)=0,"",IF(ISNUMBER(SEARCH(",",G168)),LEN(SUBSTITUTE(G168,",","xx"))-LEN(G168)+1,1))</f>
        <v>4</v>
      </c>
      <c r="I168" s="17" t="s">
        <v>626</v>
      </c>
      <c r="J168" s="19">
        <f>IF(LEN(I168)=0,"",IF(ISNUMBER(SEARCH(",",I168)),LEN(SUBSTITUTE(I168,",","xx"))-LEN(I168)+1,1))</f>
        <v>3</v>
      </c>
      <c r="K168" s="18" t="s">
        <v>619</v>
      </c>
      <c r="L168" s="18" t="s">
        <v>28</v>
      </c>
      <c r="M168" s="27">
        <v>-1</v>
      </c>
      <c r="N168" s="27">
        <v>4.154006700988519E-2</v>
      </c>
      <c r="O168" s="28" t="str">
        <f>IF(AND(N168&lt;0.05,OR(AND(L168="升高改善",M168&gt;0),AND(L168="降低改善",M168&lt;0))),"校正","不校正")</f>
        <v>不校正</v>
      </c>
      <c r="P168" s="18" t="s">
        <v>627</v>
      </c>
      <c r="Q168" s="18" t="s">
        <v>159</v>
      </c>
      <c r="R168" s="18" t="s">
        <v>160</v>
      </c>
      <c r="S168" s="18"/>
    </row>
    <row r="169" spans="1:19" ht="36" customHeight="1">
      <c r="A169" s="17" t="s">
        <v>628</v>
      </c>
      <c r="B169" s="17" t="s">
        <v>576</v>
      </c>
      <c r="C169" s="17" t="s">
        <v>594</v>
      </c>
      <c r="D169" s="17" t="s">
        <v>616</v>
      </c>
      <c r="E169" s="18" t="s">
        <v>23</v>
      </c>
      <c r="F169" s="17" t="s">
        <v>132</v>
      </c>
      <c r="G169" s="17" t="s">
        <v>629</v>
      </c>
      <c r="H169" s="19">
        <f>IF(LEN(G169)=0,"",IF(ISNUMBER(SEARCH(",",G169)),LEN(SUBSTITUTE(G169,",","xx"))-LEN(G169)+1,1))</f>
        <v>3</v>
      </c>
      <c r="I169" s="17" t="s">
        <v>630</v>
      </c>
      <c r="J169" s="19">
        <f>IF(LEN(I169)=0,"",IF(ISNUMBER(SEARCH(",",I169)),LEN(SUBSTITUTE(I169,",","xx"))-LEN(I169)+1,1))</f>
        <v>3</v>
      </c>
      <c r="K169" s="18" t="s">
        <v>619</v>
      </c>
      <c r="L169" s="18" t="s">
        <v>28</v>
      </c>
      <c r="M169" s="27">
        <v>1</v>
      </c>
      <c r="N169" s="27">
        <v>0.11718508719813807</v>
      </c>
      <c r="O169" s="28" t="str">
        <f>IF(AND(N169&lt;0.05,OR(AND(L169="升高改善",M169&gt;0),AND(L169="降低改善",M169&lt;0))),"校正","不校正")</f>
        <v>不校正</v>
      </c>
      <c r="P169" s="18" t="s">
        <v>631</v>
      </c>
      <c r="Q169" s="18" t="s">
        <v>159</v>
      </c>
      <c r="R169" s="18" t="s">
        <v>160</v>
      </c>
      <c r="S169" s="18"/>
    </row>
    <row r="170" spans="1:19" ht="27" customHeight="1">
      <c r="A170" s="2" t="s">
        <v>632</v>
      </c>
      <c r="B170" s="2" t="s">
        <v>633</v>
      </c>
      <c r="C170" s="31" t="s">
        <v>634</v>
      </c>
      <c r="D170" s="2" t="s">
        <v>635</v>
      </c>
      <c r="E170" s="3" t="s">
        <v>23</v>
      </c>
      <c r="F170" s="2" t="s">
        <v>636</v>
      </c>
      <c r="G170" s="33"/>
      <c r="H170" s="34"/>
      <c r="I170" s="33"/>
      <c r="J170" s="34"/>
      <c r="K170" s="3" t="s">
        <v>637</v>
      </c>
      <c r="L170" s="3" t="s">
        <v>101</v>
      </c>
      <c r="M170" s="15"/>
      <c r="N170" s="15"/>
      <c r="O170" s="16"/>
      <c r="P170" s="3" t="s">
        <v>638</v>
      </c>
      <c r="Q170" s="3" t="s">
        <v>159</v>
      </c>
      <c r="R170" s="35" t="s">
        <v>94</v>
      </c>
      <c r="S170" s="3" t="s">
        <v>639</v>
      </c>
    </row>
    <row r="171" spans="1:19" ht="27" customHeight="1">
      <c r="A171" s="7" t="s">
        <v>640</v>
      </c>
      <c r="B171" s="7" t="s">
        <v>633</v>
      </c>
      <c r="C171" s="32" t="s">
        <v>634</v>
      </c>
      <c r="D171" s="7" t="s">
        <v>635</v>
      </c>
      <c r="E171" s="8" t="s">
        <v>81</v>
      </c>
      <c r="F171" s="7" t="s">
        <v>82</v>
      </c>
      <c r="G171" s="22"/>
      <c r="H171" s="23"/>
      <c r="I171" s="22"/>
      <c r="J171" s="23"/>
      <c r="K171" s="8" t="s">
        <v>637</v>
      </c>
      <c r="L171" s="8" t="s">
        <v>101</v>
      </c>
      <c r="M171" s="20"/>
      <c r="N171" s="20"/>
      <c r="O171" s="21"/>
      <c r="P171" s="8" t="s">
        <v>638</v>
      </c>
      <c r="Q171" s="8" t="s">
        <v>159</v>
      </c>
      <c r="R171" s="24" t="s">
        <v>94</v>
      </c>
      <c r="S171" s="8" t="s">
        <v>641</v>
      </c>
    </row>
    <row r="172" spans="1:19" ht="27" customHeight="1">
      <c r="A172" s="7" t="s">
        <v>642</v>
      </c>
      <c r="B172" s="7" t="s">
        <v>633</v>
      </c>
      <c r="C172" s="32" t="s">
        <v>634</v>
      </c>
      <c r="D172" s="7" t="s">
        <v>643</v>
      </c>
      <c r="E172" s="8" t="s">
        <v>23</v>
      </c>
      <c r="F172" s="7" t="s">
        <v>636</v>
      </c>
      <c r="G172" s="7" t="s">
        <v>644</v>
      </c>
      <c r="H172" s="9">
        <f>IF(LEN(G172)=0,"",IF(ISNUMBER(SEARCH(",",G172)),LEN(SUBSTITUTE(G172,",","xx"))-LEN(G172)+1,1))</f>
        <v>11</v>
      </c>
      <c r="I172" s="7" t="s">
        <v>645</v>
      </c>
      <c r="J172" s="9">
        <f>IF(LEN(I172)=0,"",IF(ISNUMBER(SEARCH(",",I172)),LEN(SUBSTITUTE(I172,",","xx"))-LEN(I172)+1,1))</f>
        <v>9</v>
      </c>
      <c r="K172" s="8" t="s">
        <v>637</v>
      </c>
      <c r="L172" s="8" t="s">
        <v>101</v>
      </c>
      <c r="M172" s="10">
        <v>0.43747863925980712</v>
      </c>
      <c r="N172" s="10">
        <v>8.9429359028993571E-2</v>
      </c>
      <c r="O172" s="11" t="str">
        <f>IF(AND(N172&lt;0.05,OR(AND(L172="升高改善",M172&gt;0),AND(L172="降低改善",M172&lt;0))),"校正","不校正")</f>
        <v>不校正</v>
      </c>
      <c r="P172" s="8" t="s">
        <v>646</v>
      </c>
      <c r="Q172" s="8" t="s">
        <v>159</v>
      </c>
      <c r="R172" s="8" t="s">
        <v>160</v>
      </c>
      <c r="S172" s="8"/>
    </row>
    <row r="173" spans="1:19" ht="27" customHeight="1">
      <c r="A173" s="7" t="s">
        <v>647</v>
      </c>
      <c r="B173" s="7" t="s">
        <v>633</v>
      </c>
      <c r="C173" s="32" t="s">
        <v>634</v>
      </c>
      <c r="D173" s="7" t="s">
        <v>643</v>
      </c>
      <c r="E173" s="8" t="s">
        <v>81</v>
      </c>
      <c r="F173" s="7" t="s">
        <v>82</v>
      </c>
      <c r="G173" s="22"/>
      <c r="H173" s="23"/>
      <c r="I173" s="22"/>
      <c r="J173" s="23"/>
      <c r="K173" s="8" t="s">
        <v>637</v>
      </c>
      <c r="L173" s="8" t="s">
        <v>101</v>
      </c>
      <c r="M173" s="20"/>
      <c r="N173" s="20"/>
      <c r="O173" s="21"/>
      <c r="P173" s="8" t="s">
        <v>646</v>
      </c>
      <c r="Q173" s="8" t="s">
        <v>159</v>
      </c>
      <c r="R173" s="24" t="s">
        <v>94</v>
      </c>
      <c r="S173" s="8" t="s">
        <v>641</v>
      </c>
    </row>
    <row r="174" spans="1:19" ht="27" customHeight="1">
      <c r="A174" s="7" t="s">
        <v>648</v>
      </c>
      <c r="B174" s="7" t="s">
        <v>633</v>
      </c>
      <c r="C174" s="32" t="s">
        <v>634</v>
      </c>
      <c r="D174" s="7" t="s">
        <v>649</v>
      </c>
      <c r="E174" s="8" t="s">
        <v>23</v>
      </c>
      <c r="F174" s="7" t="s">
        <v>636</v>
      </c>
      <c r="G174" s="22"/>
      <c r="H174" s="23"/>
      <c r="I174" s="22"/>
      <c r="J174" s="23"/>
      <c r="K174" s="8" t="s">
        <v>637</v>
      </c>
      <c r="L174" s="8" t="s">
        <v>101</v>
      </c>
      <c r="M174" s="20"/>
      <c r="N174" s="20"/>
      <c r="O174" s="21"/>
      <c r="P174" s="8" t="s">
        <v>650</v>
      </c>
      <c r="Q174" s="8" t="s">
        <v>159</v>
      </c>
      <c r="R174" s="24" t="s">
        <v>94</v>
      </c>
      <c r="S174" s="8" t="s">
        <v>651</v>
      </c>
    </row>
    <row r="175" spans="1:19" ht="27" customHeight="1">
      <c r="A175" s="7" t="s">
        <v>652</v>
      </c>
      <c r="B175" s="7" t="s">
        <v>633</v>
      </c>
      <c r="C175" s="32" t="s">
        <v>634</v>
      </c>
      <c r="D175" s="7" t="s">
        <v>649</v>
      </c>
      <c r="E175" s="8" t="s">
        <v>81</v>
      </c>
      <c r="F175" s="7" t="s">
        <v>82</v>
      </c>
      <c r="G175" s="7" t="s">
        <v>653</v>
      </c>
      <c r="H175" s="9">
        <f>IF(LEN(G175)=0,"",IF(ISNUMBER(SEARCH(",",G175)),LEN(SUBSTITUTE(G175,",","xx"))-LEN(G175)+1,1))</f>
        <v>17</v>
      </c>
      <c r="I175" s="7" t="s">
        <v>654</v>
      </c>
      <c r="J175" s="9">
        <f>IF(LEN(I175)=0,"",IF(ISNUMBER(SEARCH(",",I175)),LEN(SUBSTITUTE(I175,",","xx"))-LEN(I175)+1,1))</f>
        <v>2</v>
      </c>
      <c r="K175" s="8" t="s">
        <v>637</v>
      </c>
      <c r="L175" s="8" t="s">
        <v>101</v>
      </c>
      <c r="M175" s="10">
        <v>0.27615304488938858</v>
      </c>
      <c r="N175" s="10">
        <v>0.15237866705501255</v>
      </c>
      <c r="O175" s="11" t="str">
        <f>IF(AND(N175&lt;0.05,OR(AND(L175="升高改善",M175&gt;0),AND(L175="降低改善",M175&lt;0))),"校正","不校正")</f>
        <v>不校正</v>
      </c>
      <c r="P175" s="8" t="s">
        <v>650</v>
      </c>
      <c r="Q175" s="8" t="s">
        <v>159</v>
      </c>
      <c r="R175" s="8" t="s">
        <v>160</v>
      </c>
      <c r="S175" s="8"/>
    </row>
    <row r="176" spans="1:19" ht="27" customHeight="1">
      <c r="A176" s="12" t="s">
        <v>655</v>
      </c>
      <c r="B176" s="12" t="s">
        <v>656</v>
      </c>
      <c r="C176" s="29" t="s">
        <v>657</v>
      </c>
      <c r="D176" s="12" t="s">
        <v>658</v>
      </c>
      <c r="E176" s="13" t="s">
        <v>23</v>
      </c>
      <c r="F176" s="12" t="s">
        <v>132</v>
      </c>
      <c r="G176" s="33"/>
      <c r="H176" s="34"/>
      <c r="I176" s="33"/>
      <c r="J176" s="34"/>
      <c r="K176" s="13" t="s">
        <v>64</v>
      </c>
      <c r="L176" s="13" t="s">
        <v>28</v>
      </c>
      <c r="M176" s="15"/>
      <c r="N176" s="15"/>
      <c r="O176" s="16"/>
      <c r="P176" s="13" t="s">
        <v>659</v>
      </c>
      <c r="Q176" s="13" t="s">
        <v>159</v>
      </c>
      <c r="R176" s="35" t="s">
        <v>94</v>
      </c>
      <c r="S176" s="13" t="s">
        <v>660</v>
      </c>
    </row>
    <row r="177" spans="1:19" ht="27" customHeight="1">
      <c r="A177" s="17" t="s">
        <v>661</v>
      </c>
      <c r="B177" s="17" t="s">
        <v>656</v>
      </c>
      <c r="C177" s="30" t="s">
        <v>657</v>
      </c>
      <c r="D177" s="17" t="s">
        <v>658</v>
      </c>
      <c r="E177" s="18" t="s">
        <v>81</v>
      </c>
      <c r="F177" s="17" t="s">
        <v>359</v>
      </c>
      <c r="G177" s="22"/>
      <c r="H177" s="23"/>
      <c r="I177" s="22"/>
      <c r="J177" s="23"/>
      <c r="K177" s="18" t="s">
        <v>64</v>
      </c>
      <c r="L177" s="18" t="s">
        <v>28</v>
      </c>
      <c r="M177" s="20"/>
      <c r="N177" s="20"/>
      <c r="O177" s="21"/>
      <c r="P177" s="18" t="s">
        <v>659</v>
      </c>
      <c r="Q177" s="18" t="s">
        <v>159</v>
      </c>
      <c r="R177" s="24" t="s">
        <v>94</v>
      </c>
      <c r="S177" s="18" t="s">
        <v>660</v>
      </c>
    </row>
    <row r="178" spans="1:19" ht="36" customHeight="1">
      <c r="A178" s="17" t="s">
        <v>662</v>
      </c>
      <c r="B178" s="17" t="s">
        <v>656</v>
      </c>
      <c r="C178" s="30" t="s">
        <v>657</v>
      </c>
      <c r="D178" s="17" t="s">
        <v>658</v>
      </c>
      <c r="E178" s="18" t="s">
        <v>34</v>
      </c>
      <c r="F178" s="17" t="s">
        <v>663</v>
      </c>
      <c r="G178" s="22"/>
      <c r="H178" s="23"/>
      <c r="I178" s="22"/>
      <c r="J178" s="23"/>
      <c r="K178" s="18" t="s">
        <v>64</v>
      </c>
      <c r="L178" s="18" t="s">
        <v>28</v>
      </c>
      <c r="M178" s="20"/>
      <c r="N178" s="20"/>
      <c r="O178" s="21"/>
      <c r="P178" s="18" t="s">
        <v>664</v>
      </c>
      <c r="Q178" s="18" t="s">
        <v>159</v>
      </c>
      <c r="R178" s="24" t="s">
        <v>94</v>
      </c>
      <c r="S178" s="18" t="s">
        <v>660</v>
      </c>
    </row>
    <row r="179" spans="1:19" ht="36" customHeight="1">
      <c r="A179" s="17" t="s">
        <v>665</v>
      </c>
      <c r="B179" s="17" t="s">
        <v>656</v>
      </c>
      <c r="C179" s="30" t="s">
        <v>657</v>
      </c>
      <c r="D179" s="17" t="s">
        <v>658</v>
      </c>
      <c r="E179" s="18" t="s">
        <v>34</v>
      </c>
      <c r="F179" s="17" t="s">
        <v>666</v>
      </c>
      <c r="G179" s="22"/>
      <c r="H179" s="23"/>
      <c r="I179" s="22"/>
      <c r="J179" s="23"/>
      <c r="K179" s="18" t="s">
        <v>64</v>
      </c>
      <c r="L179" s="18" t="s">
        <v>28</v>
      </c>
      <c r="M179" s="20"/>
      <c r="N179" s="20"/>
      <c r="O179" s="21"/>
      <c r="P179" s="18" t="s">
        <v>664</v>
      </c>
      <c r="Q179" s="18" t="s">
        <v>159</v>
      </c>
      <c r="R179" s="24" t="s">
        <v>94</v>
      </c>
      <c r="S179" s="18" t="s">
        <v>660</v>
      </c>
    </row>
    <row r="180" spans="1:19" ht="36" customHeight="1">
      <c r="A180" s="17" t="s">
        <v>667</v>
      </c>
      <c r="B180" s="17" t="s">
        <v>656</v>
      </c>
      <c r="C180" s="30" t="s">
        <v>657</v>
      </c>
      <c r="D180" s="17" t="s">
        <v>668</v>
      </c>
      <c r="E180" s="18" t="s">
        <v>23</v>
      </c>
      <c r="F180" s="17" t="s">
        <v>132</v>
      </c>
      <c r="G180" s="22"/>
      <c r="H180" s="23"/>
      <c r="I180" s="22"/>
      <c r="J180" s="23"/>
      <c r="K180" s="18" t="s">
        <v>64</v>
      </c>
      <c r="L180" s="18" t="s">
        <v>28</v>
      </c>
      <c r="M180" s="20"/>
      <c r="N180" s="20"/>
      <c r="O180" s="21"/>
      <c r="P180" s="18" t="s">
        <v>669</v>
      </c>
      <c r="Q180" s="18" t="s">
        <v>159</v>
      </c>
      <c r="R180" s="24" t="s">
        <v>94</v>
      </c>
      <c r="S180" s="18" t="s">
        <v>660</v>
      </c>
    </row>
    <row r="181" spans="1:19" ht="36" customHeight="1">
      <c r="A181" s="17" t="s">
        <v>670</v>
      </c>
      <c r="B181" s="17" t="s">
        <v>656</v>
      </c>
      <c r="C181" s="30" t="s">
        <v>657</v>
      </c>
      <c r="D181" s="17" t="s">
        <v>668</v>
      </c>
      <c r="E181" s="18" t="s">
        <v>81</v>
      </c>
      <c r="F181" s="17" t="s">
        <v>359</v>
      </c>
      <c r="G181" s="22"/>
      <c r="H181" s="23"/>
      <c r="I181" s="22"/>
      <c r="J181" s="23"/>
      <c r="K181" s="18" t="s">
        <v>64</v>
      </c>
      <c r="L181" s="18" t="s">
        <v>28</v>
      </c>
      <c r="M181" s="20"/>
      <c r="N181" s="20"/>
      <c r="O181" s="21"/>
      <c r="P181" s="18" t="s">
        <v>669</v>
      </c>
      <c r="Q181" s="18" t="s">
        <v>159</v>
      </c>
      <c r="R181" s="24" t="s">
        <v>94</v>
      </c>
      <c r="S181" s="18" t="s">
        <v>660</v>
      </c>
    </row>
    <row r="182" spans="1:19" ht="36" customHeight="1">
      <c r="A182" s="17" t="s">
        <v>671</v>
      </c>
      <c r="B182" s="17" t="s">
        <v>656</v>
      </c>
      <c r="C182" s="30" t="s">
        <v>657</v>
      </c>
      <c r="D182" s="17" t="s">
        <v>668</v>
      </c>
      <c r="E182" s="18" t="s">
        <v>34</v>
      </c>
      <c r="F182" s="17" t="s">
        <v>663</v>
      </c>
      <c r="G182" s="22"/>
      <c r="H182" s="23"/>
      <c r="I182" s="22"/>
      <c r="J182" s="23"/>
      <c r="K182" s="18" t="s">
        <v>64</v>
      </c>
      <c r="L182" s="18" t="s">
        <v>28</v>
      </c>
      <c r="M182" s="20"/>
      <c r="N182" s="20"/>
      <c r="O182" s="21"/>
      <c r="P182" s="18" t="s">
        <v>672</v>
      </c>
      <c r="Q182" s="18" t="s">
        <v>159</v>
      </c>
      <c r="R182" s="24" t="s">
        <v>94</v>
      </c>
      <c r="S182" s="18" t="s">
        <v>660</v>
      </c>
    </row>
    <row r="183" spans="1:19" ht="36" customHeight="1">
      <c r="A183" s="17" t="s">
        <v>673</v>
      </c>
      <c r="B183" s="17" t="s">
        <v>656</v>
      </c>
      <c r="C183" s="30" t="s">
        <v>657</v>
      </c>
      <c r="D183" s="17" t="s">
        <v>668</v>
      </c>
      <c r="E183" s="18" t="s">
        <v>34</v>
      </c>
      <c r="F183" s="17" t="s">
        <v>666</v>
      </c>
      <c r="G183" s="22"/>
      <c r="H183" s="23"/>
      <c r="I183" s="22"/>
      <c r="J183" s="23"/>
      <c r="K183" s="18" t="s">
        <v>64</v>
      </c>
      <c r="L183" s="18" t="s">
        <v>28</v>
      </c>
      <c r="M183" s="20"/>
      <c r="N183" s="20"/>
      <c r="O183" s="21"/>
      <c r="P183" s="18" t="s">
        <v>672</v>
      </c>
      <c r="Q183" s="18" t="s">
        <v>159</v>
      </c>
      <c r="R183" s="24" t="s">
        <v>94</v>
      </c>
      <c r="S183" s="18" t="s">
        <v>660</v>
      </c>
    </row>
    <row r="184" spans="1:19" ht="27" customHeight="1">
      <c r="A184" s="17" t="s">
        <v>674</v>
      </c>
      <c r="B184" s="17" t="s">
        <v>656</v>
      </c>
      <c r="C184" s="30" t="s">
        <v>675</v>
      </c>
      <c r="D184" s="17" t="s">
        <v>658</v>
      </c>
      <c r="E184" s="18" t="s">
        <v>23</v>
      </c>
      <c r="F184" s="17" t="s">
        <v>132</v>
      </c>
      <c r="G184" s="22"/>
      <c r="H184" s="23"/>
      <c r="I184" s="22"/>
      <c r="J184" s="23"/>
      <c r="K184" s="18" t="s">
        <v>64</v>
      </c>
      <c r="L184" s="18" t="s">
        <v>28</v>
      </c>
      <c r="M184" s="20"/>
      <c r="N184" s="20"/>
      <c r="O184" s="21"/>
      <c r="P184" s="18" t="s">
        <v>676</v>
      </c>
      <c r="Q184" s="18" t="s">
        <v>159</v>
      </c>
      <c r="R184" s="24" t="s">
        <v>94</v>
      </c>
      <c r="S184" s="18" t="s">
        <v>660</v>
      </c>
    </row>
    <row r="185" spans="1:19" ht="27" customHeight="1">
      <c r="A185" s="17" t="s">
        <v>677</v>
      </c>
      <c r="B185" s="17" t="s">
        <v>656</v>
      </c>
      <c r="C185" s="30" t="s">
        <v>675</v>
      </c>
      <c r="D185" s="17" t="s">
        <v>658</v>
      </c>
      <c r="E185" s="18" t="s">
        <v>81</v>
      </c>
      <c r="F185" s="17" t="s">
        <v>359</v>
      </c>
      <c r="G185" s="22"/>
      <c r="H185" s="23"/>
      <c r="I185" s="22"/>
      <c r="J185" s="23"/>
      <c r="K185" s="18" t="s">
        <v>64</v>
      </c>
      <c r="L185" s="18" t="s">
        <v>28</v>
      </c>
      <c r="M185" s="20"/>
      <c r="N185" s="20"/>
      <c r="O185" s="21"/>
      <c r="P185" s="18" t="s">
        <v>676</v>
      </c>
      <c r="Q185" s="18" t="s">
        <v>159</v>
      </c>
      <c r="R185" s="24" t="s">
        <v>94</v>
      </c>
      <c r="S185" s="18" t="s">
        <v>660</v>
      </c>
    </row>
    <row r="186" spans="1:19" ht="36" customHeight="1">
      <c r="A186" s="17" t="s">
        <v>678</v>
      </c>
      <c r="B186" s="17" t="s">
        <v>656</v>
      </c>
      <c r="C186" s="30" t="s">
        <v>675</v>
      </c>
      <c r="D186" s="17" t="s">
        <v>658</v>
      </c>
      <c r="E186" s="18" t="s">
        <v>34</v>
      </c>
      <c r="F186" s="17" t="s">
        <v>666</v>
      </c>
      <c r="G186" s="22"/>
      <c r="H186" s="23"/>
      <c r="I186" s="22"/>
      <c r="J186" s="23"/>
      <c r="K186" s="18" t="s">
        <v>64</v>
      </c>
      <c r="L186" s="18" t="s">
        <v>28</v>
      </c>
      <c r="M186" s="20"/>
      <c r="N186" s="20"/>
      <c r="O186" s="21"/>
      <c r="P186" s="18" t="s">
        <v>679</v>
      </c>
      <c r="Q186" s="18" t="s">
        <v>159</v>
      </c>
      <c r="R186" s="24" t="s">
        <v>94</v>
      </c>
      <c r="S186" s="18" t="s">
        <v>660</v>
      </c>
    </row>
    <row r="187" spans="1:19" ht="36" customHeight="1">
      <c r="A187" s="17" t="s">
        <v>680</v>
      </c>
      <c r="B187" s="17" t="s">
        <v>656</v>
      </c>
      <c r="C187" s="30" t="s">
        <v>675</v>
      </c>
      <c r="D187" s="17" t="s">
        <v>668</v>
      </c>
      <c r="E187" s="18" t="s">
        <v>23</v>
      </c>
      <c r="F187" s="17" t="s">
        <v>132</v>
      </c>
      <c r="G187" s="22"/>
      <c r="H187" s="23"/>
      <c r="I187" s="22"/>
      <c r="J187" s="23"/>
      <c r="K187" s="18" t="s">
        <v>64</v>
      </c>
      <c r="L187" s="18" t="s">
        <v>28</v>
      </c>
      <c r="M187" s="20"/>
      <c r="N187" s="20"/>
      <c r="O187" s="21"/>
      <c r="P187" s="18" t="s">
        <v>681</v>
      </c>
      <c r="Q187" s="18" t="s">
        <v>159</v>
      </c>
      <c r="R187" s="24" t="s">
        <v>94</v>
      </c>
      <c r="S187" s="18" t="s">
        <v>660</v>
      </c>
    </row>
    <row r="188" spans="1:19" ht="36" customHeight="1">
      <c r="A188" s="17" t="s">
        <v>682</v>
      </c>
      <c r="B188" s="17" t="s">
        <v>656</v>
      </c>
      <c r="C188" s="30" t="s">
        <v>675</v>
      </c>
      <c r="D188" s="17" t="s">
        <v>668</v>
      </c>
      <c r="E188" s="18" t="s">
        <v>81</v>
      </c>
      <c r="F188" s="17" t="s">
        <v>359</v>
      </c>
      <c r="G188" s="22"/>
      <c r="H188" s="23"/>
      <c r="I188" s="22"/>
      <c r="J188" s="23"/>
      <c r="K188" s="18" t="s">
        <v>64</v>
      </c>
      <c r="L188" s="18" t="s">
        <v>28</v>
      </c>
      <c r="M188" s="20"/>
      <c r="N188" s="20"/>
      <c r="O188" s="21"/>
      <c r="P188" s="18" t="s">
        <v>681</v>
      </c>
      <c r="Q188" s="18" t="s">
        <v>159</v>
      </c>
      <c r="R188" s="24" t="s">
        <v>94</v>
      </c>
      <c r="S188" s="18" t="s">
        <v>660</v>
      </c>
    </row>
    <row r="189" spans="1:19" ht="36" customHeight="1">
      <c r="A189" s="17" t="s">
        <v>683</v>
      </c>
      <c r="B189" s="17" t="s">
        <v>656</v>
      </c>
      <c r="C189" s="30" t="s">
        <v>675</v>
      </c>
      <c r="D189" s="17" t="s">
        <v>668</v>
      </c>
      <c r="E189" s="18" t="s">
        <v>34</v>
      </c>
      <c r="F189" s="17" t="s">
        <v>666</v>
      </c>
      <c r="G189" s="22"/>
      <c r="H189" s="23"/>
      <c r="I189" s="22"/>
      <c r="J189" s="23"/>
      <c r="K189" s="18" t="s">
        <v>64</v>
      </c>
      <c r="L189" s="18" t="s">
        <v>28</v>
      </c>
      <c r="M189" s="20"/>
      <c r="N189" s="20"/>
      <c r="O189" s="21"/>
      <c r="P189" s="18" t="s">
        <v>684</v>
      </c>
      <c r="Q189" s="18" t="s">
        <v>159</v>
      </c>
      <c r="R189" s="24" t="s">
        <v>94</v>
      </c>
      <c r="S189" s="18" t="s">
        <v>660</v>
      </c>
    </row>
    <row r="190" spans="1:19" ht="27" customHeight="1">
      <c r="A190" s="17" t="s">
        <v>685</v>
      </c>
      <c r="B190" s="17" t="s">
        <v>656</v>
      </c>
      <c r="C190" s="30" t="s">
        <v>686</v>
      </c>
      <c r="D190" s="17" t="s">
        <v>658</v>
      </c>
      <c r="E190" s="18" t="s">
        <v>23</v>
      </c>
      <c r="F190" s="17" t="s">
        <v>132</v>
      </c>
      <c r="G190" s="17" t="s">
        <v>687</v>
      </c>
      <c r="H190" s="19">
        <f t="shared" ref="H190:H195" si="18">IF(LEN(G190)=0,"",IF(ISNUMBER(SEARCH(",",G190)),LEN(SUBSTITUTE(G190,",","xx"))-LEN(G190)+1,1))</f>
        <v>6</v>
      </c>
      <c r="I190" s="17" t="s">
        <v>688</v>
      </c>
      <c r="J190" s="19">
        <f t="shared" ref="J190:J195" si="19">IF(LEN(I190)=0,"",IF(ISNUMBER(SEARCH(",",I190)),LEN(SUBSTITUTE(I190,",","xx"))-LEN(I190)+1,1))</f>
        <v>6</v>
      </c>
      <c r="K190" s="18" t="s">
        <v>64</v>
      </c>
      <c r="L190" s="18" t="s">
        <v>28</v>
      </c>
      <c r="M190" s="27">
        <v>-8.6066296582387042E-2</v>
      </c>
      <c r="N190" s="27">
        <v>0.82725934656271127</v>
      </c>
      <c r="O190" s="28" t="str">
        <f t="shared" ref="O190:O195" si="20">IF(AND(N190&lt;0.05,OR(AND(L190="升高改善",M190&gt;0),AND(L190="降低改善",M190&lt;0))),"校正","不校正")</f>
        <v>不校正</v>
      </c>
      <c r="P190" s="18" t="s">
        <v>689</v>
      </c>
      <c r="Q190" s="18" t="s">
        <v>159</v>
      </c>
      <c r="R190" s="18" t="s">
        <v>160</v>
      </c>
      <c r="S190" s="18"/>
    </row>
    <row r="191" spans="1:19" ht="27" customHeight="1">
      <c r="A191" s="17" t="s">
        <v>690</v>
      </c>
      <c r="B191" s="17" t="s">
        <v>656</v>
      </c>
      <c r="C191" s="30" t="s">
        <v>686</v>
      </c>
      <c r="D191" s="17" t="s">
        <v>658</v>
      </c>
      <c r="E191" s="18" t="s">
        <v>81</v>
      </c>
      <c r="F191" s="17" t="s">
        <v>359</v>
      </c>
      <c r="G191" s="17" t="s">
        <v>687</v>
      </c>
      <c r="H191" s="19">
        <f t="shared" si="18"/>
        <v>6</v>
      </c>
      <c r="I191" s="17" t="s">
        <v>691</v>
      </c>
      <c r="J191" s="19">
        <f t="shared" si="19"/>
        <v>1</v>
      </c>
      <c r="K191" s="18" t="s">
        <v>64</v>
      </c>
      <c r="L191" s="18" t="s">
        <v>28</v>
      </c>
      <c r="M191" s="27">
        <v>-8.6066296582387042E-2</v>
      </c>
      <c r="N191" s="27">
        <v>0.82725934656271127</v>
      </c>
      <c r="O191" s="28" t="str">
        <f t="shared" si="20"/>
        <v>不校正</v>
      </c>
      <c r="P191" s="18" t="s">
        <v>689</v>
      </c>
      <c r="Q191" s="18" t="s">
        <v>159</v>
      </c>
      <c r="R191" s="18" t="s">
        <v>160</v>
      </c>
      <c r="S191" s="18"/>
    </row>
    <row r="192" spans="1:19" ht="36" customHeight="1">
      <c r="A192" s="17" t="s">
        <v>692</v>
      </c>
      <c r="B192" s="17" t="s">
        <v>656</v>
      </c>
      <c r="C192" s="30" t="s">
        <v>686</v>
      </c>
      <c r="D192" s="17" t="s">
        <v>658</v>
      </c>
      <c r="E192" s="18" t="s">
        <v>34</v>
      </c>
      <c r="F192" s="17" t="s">
        <v>663</v>
      </c>
      <c r="G192" s="17" t="s">
        <v>693</v>
      </c>
      <c r="H192" s="19">
        <f t="shared" si="18"/>
        <v>2</v>
      </c>
      <c r="I192" s="17" t="s">
        <v>694</v>
      </c>
      <c r="J192" s="19">
        <f t="shared" si="19"/>
        <v>2</v>
      </c>
      <c r="K192" s="18" t="s">
        <v>64</v>
      </c>
      <c r="L192" s="18" t="s">
        <v>28</v>
      </c>
      <c r="M192" s="27">
        <v>1</v>
      </c>
      <c r="N192" s="27">
        <v>0.31731050786291415</v>
      </c>
      <c r="O192" s="28" t="str">
        <f t="shared" si="20"/>
        <v>不校正</v>
      </c>
      <c r="P192" s="18" t="s">
        <v>695</v>
      </c>
      <c r="Q192" s="18" t="s">
        <v>159</v>
      </c>
      <c r="R192" s="18" t="s">
        <v>160</v>
      </c>
      <c r="S192" s="18"/>
    </row>
    <row r="193" spans="1:19" ht="27" customHeight="1">
      <c r="A193" s="17" t="s">
        <v>696</v>
      </c>
      <c r="B193" s="17" t="s">
        <v>656</v>
      </c>
      <c r="C193" s="30" t="s">
        <v>686</v>
      </c>
      <c r="D193" s="17" t="s">
        <v>668</v>
      </c>
      <c r="E193" s="18" t="s">
        <v>23</v>
      </c>
      <c r="F193" s="17" t="s">
        <v>132</v>
      </c>
      <c r="G193" s="17" t="s">
        <v>697</v>
      </c>
      <c r="H193" s="19">
        <f t="shared" si="18"/>
        <v>6</v>
      </c>
      <c r="I193" s="17" t="s">
        <v>698</v>
      </c>
      <c r="J193" s="19">
        <f t="shared" si="19"/>
        <v>6</v>
      </c>
      <c r="K193" s="18" t="s">
        <v>64</v>
      </c>
      <c r="L193" s="18" t="s">
        <v>28</v>
      </c>
      <c r="M193" s="27">
        <v>-0.6</v>
      </c>
      <c r="N193" s="27">
        <v>9.0873939986249083E-2</v>
      </c>
      <c r="O193" s="28" t="str">
        <f t="shared" si="20"/>
        <v>不校正</v>
      </c>
      <c r="P193" s="18" t="s">
        <v>699</v>
      </c>
      <c r="Q193" s="18" t="s">
        <v>159</v>
      </c>
      <c r="R193" s="18" t="s">
        <v>160</v>
      </c>
      <c r="S193" s="18"/>
    </row>
    <row r="194" spans="1:19" ht="27" customHeight="1">
      <c r="A194" s="17" t="s">
        <v>700</v>
      </c>
      <c r="B194" s="17" t="s">
        <v>656</v>
      </c>
      <c r="C194" s="30" t="s">
        <v>686</v>
      </c>
      <c r="D194" s="17" t="s">
        <v>668</v>
      </c>
      <c r="E194" s="18" t="s">
        <v>81</v>
      </c>
      <c r="F194" s="17" t="s">
        <v>359</v>
      </c>
      <c r="G194" s="17" t="s">
        <v>697</v>
      </c>
      <c r="H194" s="19">
        <f t="shared" si="18"/>
        <v>6</v>
      </c>
      <c r="I194" s="17" t="s">
        <v>701</v>
      </c>
      <c r="J194" s="19">
        <f t="shared" si="19"/>
        <v>1</v>
      </c>
      <c r="K194" s="18" t="s">
        <v>64</v>
      </c>
      <c r="L194" s="18" t="s">
        <v>28</v>
      </c>
      <c r="M194" s="27">
        <v>-0.6</v>
      </c>
      <c r="N194" s="27">
        <v>9.0873939986249083E-2</v>
      </c>
      <c r="O194" s="28" t="str">
        <f t="shared" si="20"/>
        <v>不校正</v>
      </c>
      <c r="P194" s="18" t="s">
        <v>699</v>
      </c>
      <c r="Q194" s="18" t="s">
        <v>159</v>
      </c>
      <c r="R194" s="18" t="s">
        <v>160</v>
      </c>
      <c r="S194" s="18"/>
    </row>
    <row r="195" spans="1:19" ht="36" customHeight="1">
      <c r="A195" s="17" t="s">
        <v>702</v>
      </c>
      <c r="B195" s="17" t="s">
        <v>656</v>
      </c>
      <c r="C195" s="30" t="s">
        <v>686</v>
      </c>
      <c r="D195" s="17" t="s">
        <v>668</v>
      </c>
      <c r="E195" s="18" t="s">
        <v>34</v>
      </c>
      <c r="F195" s="17" t="s">
        <v>663</v>
      </c>
      <c r="G195" s="17" t="s">
        <v>703</v>
      </c>
      <c r="H195" s="19">
        <f t="shared" si="18"/>
        <v>2</v>
      </c>
      <c r="I195" s="17" t="s">
        <v>704</v>
      </c>
      <c r="J195" s="19">
        <f t="shared" si="19"/>
        <v>2</v>
      </c>
      <c r="K195" s="18" t="s">
        <v>64</v>
      </c>
      <c r="L195" s="18" t="s">
        <v>28</v>
      </c>
      <c r="M195" s="27">
        <v>1</v>
      </c>
      <c r="N195" s="27">
        <v>0.31731050786291415</v>
      </c>
      <c r="O195" s="28" t="str">
        <f t="shared" si="20"/>
        <v>不校正</v>
      </c>
      <c r="P195" s="18" t="s">
        <v>705</v>
      </c>
      <c r="Q195" s="18" t="s">
        <v>159</v>
      </c>
      <c r="R195" s="18" t="s">
        <v>160</v>
      </c>
      <c r="S195" s="18"/>
    </row>
    <row r="196" spans="1:19" ht="36" customHeight="1">
      <c r="A196" s="2" t="s">
        <v>706</v>
      </c>
      <c r="B196" s="2" t="s">
        <v>707</v>
      </c>
      <c r="C196" s="2" t="s">
        <v>708</v>
      </c>
      <c r="D196" s="2" t="s">
        <v>709</v>
      </c>
      <c r="E196" s="3" t="s">
        <v>94</v>
      </c>
      <c r="F196" s="31" t="s">
        <v>710</v>
      </c>
      <c r="G196" s="33"/>
      <c r="H196" s="34"/>
      <c r="I196" s="33"/>
      <c r="J196" s="34"/>
      <c r="K196" s="3" t="s">
        <v>711</v>
      </c>
      <c r="L196" s="3" t="s">
        <v>28</v>
      </c>
      <c r="M196" s="15"/>
      <c r="N196" s="15"/>
      <c r="O196" s="16"/>
      <c r="P196" s="3" t="s">
        <v>712</v>
      </c>
      <c r="Q196" s="3" t="s">
        <v>159</v>
      </c>
      <c r="R196" s="35" t="s">
        <v>94</v>
      </c>
      <c r="S196" s="3" t="s">
        <v>713</v>
      </c>
    </row>
    <row r="197" spans="1:19" ht="36" customHeight="1">
      <c r="A197" s="7" t="s">
        <v>714</v>
      </c>
      <c r="B197" s="7" t="s">
        <v>707</v>
      </c>
      <c r="C197" s="7" t="s">
        <v>715</v>
      </c>
      <c r="D197" s="7" t="s">
        <v>709</v>
      </c>
      <c r="E197" s="8" t="s">
        <v>94</v>
      </c>
      <c r="F197" s="32" t="s">
        <v>710</v>
      </c>
      <c r="G197" s="22"/>
      <c r="H197" s="23"/>
      <c r="I197" s="22"/>
      <c r="J197" s="23"/>
      <c r="K197" s="8" t="s">
        <v>711</v>
      </c>
      <c r="L197" s="8" t="s">
        <v>28</v>
      </c>
      <c r="M197" s="20"/>
      <c r="N197" s="20"/>
      <c r="O197" s="21"/>
      <c r="P197" s="8" t="s">
        <v>716</v>
      </c>
      <c r="Q197" s="8" t="s">
        <v>159</v>
      </c>
      <c r="R197" s="24" t="s">
        <v>94</v>
      </c>
      <c r="S197" s="8" t="s">
        <v>713</v>
      </c>
    </row>
    <row r="198" spans="1:19" ht="36" customHeight="1">
      <c r="A198" s="12" t="s">
        <v>717</v>
      </c>
      <c r="B198" s="12" t="s">
        <v>718</v>
      </c>
      <c r="C198" s="12" t="s">
        <v>719</v>
      </c>
      <c r="D198" s="12" t="s">
        <v>720</v>
      </c>
      <c r="E198" s="13" t="s">
        <v>23</v>
      </c>
      <c r="F198" s="12" t="s">
        <v>132</v>
      </c>
      <c r="G198" s="12" t="s">
        <v>401</v>
      </c>
      <c r="H198" s="14">
        <f>IF(LEN(G198)=0,"",IF(ISNUMBER(SEARCH(",",G198)),LEN(SUBSTITUTE(G198,",","xx"))-LEN(G198)+1,1))</f>
        <v>5</v>
      </c>
      <c r="I198" s="12" t="s">
        <v>721</v>
      </c>
      <c r="J198" s="14">
        <f>IF(LEN(I198)=0,"",IF(ISNUMBER(SEARCH(",",I198)),LEN(SUBSTITUTE(I198,",","xx"))-LEN(I198)+1,1))</f>
        <v>11</v>
      </c>
      <c r="K198" s="13" t="s">
        <v>64</v>
      </c>
      <c r="L198" s="13" t="s">
        <v>28</v>
      </c>
      <c r="M198" s="15"/>
      <c r="N198" s="15"/>
      <c r="O198" s="16" t="s">
        <v>190</v>
      </c>
      <c r="P198" s="13" t="s">
        <v>722</v>
      </c>
      <c r="Q198" s="13" t="s">
        <v>159</v>
      </c>
      <c r="R198" s="13" t="s">
        <v>160</v>
      </c>
      <c r="S198" s="13" t="s">
        <v>192</v>
      </c>
    </row>
    <row r="199" spans="1:19" ht="36" customHeight="1">
      <c r="A199" s="17" t="s">
        <v>723</v>
      </c>
      <c r="B199" s="17" t="s">
        <v>718</v>
      </c>
      <c r="C199" s="17" t="s">
        <v>724</v>
      </c>
      <c r="D199" s="17" t="s">
        <v>720</v>
      </c>
      <c r="E199" s="18" t="s">
        <v>23</v>
      </c>
      <c r="F199" s="17" t="s">
        <v>132</v>
      </c>
      <c r="G199" s="17" t="s">
        <v>725</v>
      </c>
      <c r="H199" s="19">
        <f>IF(LEN(G199)=0,"",IF(ISNUMBER(SEARCH(",",G199)),LEN(SUBSTITUTE(G199,",","xx"))-LEN(G199)+1,1))</f>
        <v>7</v>
      </c>
      <c r="I199" s="17" t="s">
        <v>726</v>
      </c>
      <c r="J199" s="19">
        <f>IF(LEN(I199)=0,"",IF(ISNUMBER(SEARCH(",",I199)),LEN(SUBSTITUTE(I199,",","xx"))-LEN(I199)+1,1))</f>
        <v>8</v>
      </c>
      <c r="K199" s="18" t="s">
        <v>64</v>
      </c>
      <c r="L199" s="18" t="s">
        <v>28</v>
      </c>
      <c r="M199" s="20"/>
      <c r="N199" s="20"/>
      <c r="O199" s="21" t="s">
        <v>190</v>
      </c>
      <c r="P199" s="18" t="s">
        <v>727</v>
      </c>
      <c r="Q199" s="18" t="s">
        <v>159</v>
      </c>
      <c r="R199" s="18" t="s">
        <v>160</v>
      </c>
      <c r="S199" s="18" t="s">
        <v>192</v>
      </c>
    </row>
    <row r="200" spans="1:19" ht="36" customHeight="1">
      <c r="A200" s="17" t="s">
        <v>728</v>
      </c>
      <c r="B200" s="17" t="s">
        <v>718</v>
      </c>
      <c r="C200" s="17" t="s">
        <v>729</v>
      </c>
      <c r="D200" s="17" t="s">
        <v>720</v>
      </c>
      <c r="E200" s="18" t="s">
        <v>23</v>
      </c>
      <c r="F200" s="17" t="s">
        <v>132</v>
      </c>
      <c r="G200" s="22"/>
      <c r="H200" s="23"/>
      <c r="I200" s="22"/>
      <c r="J200" s="23"/>
      <c r="K200" s="18" t="s">
        <v>64</v>
      </c>
      <c r="L200" s="18" t="s">
        <v>28</v>
      </c>
      <c r="M200" s="20"/>
      <c r="N200" s="20"/>
      <c r="O200" s="21"/>
      <c r="P200" s="18" t="s">
        <v>730</v>
      </c>
      <c r="Q200" s="18" t="s">
        <v>159</v>
      </c>
      <c r="R200" s="24" t="s">
        <v>94</v>
      </c>
      <c r="S200" s="18" t="s">
        <v>731</v>
      </c>
    </row>
    <row r="201" spans="1:19" ht="27" customHeight="1">
      <c r="A201" s="2" t="s">
        <v>732</v>
      </c>
      <c r="B201" s="2" t="s">
        <v>733</v>
      </c>
      <c r="C201" s="2" t="s">
        <v>734</v>
      </c>
      <c r="D201" s="2" t="s">
        <v>735</v>
      </c>
      <c r="E201" s="3" t="s">
        <v>23</v>
      </c>
      <c r="F201" s="2" t="s">
        <v>736</v>
      </c>
      <c r="G201" s="2" t="s">
        <v>737</v>
      </c>
      <c r="H201" s="4">
        <f t="shared" ref="H201:H221" si="21">IF(LEN(G201)=0,"",IF(ISNUMBER(SEARCH(",",G201)),LEN(SUBSTITUTE(G201,",","xx"))-LEN(G201)+1,1))</f>
        <v>3</v>
      </c>
      <c r="I201" s="2" t="s">
        <v>738</v>
      </c>
      <c r="J201" s="4">
        <f t="shared" ref="J201:J221" si="22">IF(LEN(I201)=0,"",IF(ISNUMBER(SEARCH(",",I201)),LEN(SUBSTITUTE(I201,",","xx"))-LEN(I201)+1,1))</f>
        <v>6</v>
      </c>
      <c r="K201" s="3" t="s">
        <v>64</v>
      </c>
      <c r="L201" s="3" t="s">
        <v>28</v>
      </c>
      <c r="M201" s="5">
        <v>-1</v>
      </c>
      <c r="N201" s="5">
        <v>0.11718508719813807</v>
      </c>
      <c r="O201" s="6" t="str">
        <f>IF(AND(N201&lt;0.05,OR(AND(L201="升高改善",M201&gt;0),AND(L201="降低改善",M201&lt;0))),"校正","不校正")</f>
        <v>不校正</v>
      </c>
      <c r="P201" s="3" t="s">
        <v>739</v>
      </c>
      <c r="Q201" s="3" t="s">
        <v>159</v>
      </c>
      <c r="R201" s="3" t="s">
        <v>160</v>
      </c>
      <c r="S201" s="3"/>
    </row>
    <row r="202" spans="1:19" ht="36" customHeight="1">
      <c r="A202" s="7" t="s">
        <v>740</v>
      </c>
      <c r="B202" s="7" t="s">
        <v>733</v>
      </c>
      <c r="C202" s="7" t="s">
        <v>734</v>
      </c>
      <c r="D202" s="7" t="s">
        <v>735</v>
      </c>
      <c r="E202" s="8" t="s">
        <v>34</v>
      </c>
      <c r="F202" s="7" t="s">
        <v>741</v>
      </c>
      <c r="G202" s="7" t="s">
        <v>301</v>
      </c>
      <c r="H202" s="9">
        <f t="shared" si="21"/>
        <v>1</v>
      </c>
      <c r="I202" s="7" t="s">
        <v>742</v>
      </c>
      <c r="J202" s="9">
        <f t="shared" si="22"/>
        <v>1</v>
      </c>
      <c r="K202" s="8" t="s">
        <v>64</v>
      </c>
      <c r="L202" s="8" t="s">
        <v>28</v>
      </c>
      <c r="M202" s="20"/>
      <c r="N202" s="20"/>
      <c r="O202" s="21" t="s">
        <v>167</v>
      </c>
      <c r="P202" s="8" t="s">
        <v>743</v>
      </c>
      <c r="Q202" s="8" t="s">
        <v>159</v>
      </c>
      <c r="R202" s="8" t="s">
        <v>160</v>
      </c>
      <c r="S202" s="8" t="s">
        <v>169</v>
      </c>
    </row>
    <row r="203" spans="1:19" ht="27" customHeight="1">
      <c r="A203" s="7" t="s">
        <v>744</v>
      </c>
      <c r="B203" s="7" t="s">
        <v>733</v>
      </c>
      <c r="C203" s="7" t="s">
        <v>745</v>
      </c>
      <c r="D203" s="7" t="s">
        <v>735</v>
      </c>
      <c r="E203" s="8" t="s">
        <v>23</v>
      </c>
      <c r="F203" s="7" t="s">
        <v>736</v>
      </c>
      <c r="G203" s="7" t="s">
        <v>746</v>
      </c>
      <c r="H203" s="9">
        <f t="shared" si="21"/>
        <v>6</v>
      </c>
      <c r="I203" s="7" t="s">
        <v>747</v>
      </c>
      <c r="J203" s="9">
        <f t="shared" si="22"/>
        <v>5</v>
      </c>
      <c r="K203" s="8" t="s">
        <v>64</v>
      </c>
      <c r="L203" s="8" t="s">
        <v>28</v>
      </c>
      <c r="M203" s="10">
        <v>-0.35805743701971643</v>
      </c>
      <c r="N203" s="10">
        <v>0.32988045178880093</v>
      </c>
      <c r="O203" s="11" t="str">
        <f>IF(AND(N203&lt;0.05,OR(AND(L203="升高改善",M203&gt;0),AND(L203="降低改善",M203&lt;0))),"校正","不校正")</f>
        <v>不校正</v>
      </c>
      <c r="P203" s="8" t="s">
        <v>748</v>
      </c>
      <c r="Q203" s="8" t="s">
        <v>159</v>
      </c>
      <c r="R203" s="8" t="s">
        <v>160</v>
      </c>
      <c r="S203" s="8"/>
    </row>
    <row r="204" spans="1:19" ht="36" customHeight="1">
      <c r="A204" s="7" t="s">
        <v>749</v>
      </c>
      <c r="B204" s="7" t="s">
        <v>733</v>
      </c>
      <c r="C204" s="7" t="s">
        <v>745</v>
      </c>
      <c r="D204" s="7" t="s">
        <v>735</v>
      </c>
      <c r="E204" s="8" t="s">
        <v>34</v>
      </c>
      <c r="F204" s="7" t="s">
        <v>741</v>
      </c>
      <c r="G204" s="7" t="s">
        <v>196</v>
      </c>
      <c r="H204" s="9">
        <f t="shared" si="21"/>
        <v>1</v>
      </c>
      <c r="I204" s="7" t="s">
        <v>750</v>
      </c>
      <c r="J204" s="9">
        <f t="shared" si="22"/>
        <v>1</v>
      </c>
      <c r="K204" s="8" t="s">
        <v>64</v>
      </c>
      <c r="L204" s="8" t="s">
        <v>28</v>
      </c>
      <c r="M204" s="20"/>
      <c r="N204" s="20"/>
      <c r="O204" s="21" t="s">
        <v>167</v>
      </c>
      <c r="P204" s="8" t="s">
        <v>751</v>
      </c>
      <c r="Q204" s="8" t="s">
        <v>159</v>
      </c>
      <c r="R204" s="8" t="s">
        <v>160</v>
      </c>
      <c r="S204" s="8" t="s">
        <v>169</v>
      </c>
    </row>
    <row r="205" spans="1:19" ht="27" customHeight="1">
      <c r="A205" s="7" t="s">
        <v>752</v>
      </c>
      <c r="B205" s="7" t="s">
        <v>733</v>
      </c>
      <c r="C205" s="7" t="s">
        <v>753</v>
      </c>
      <c r="D205" s="7" t="s">
        <v>735</v>
      </c>
      <c r="E205" s="8" t="s">
        <v>23</v>
      </c>
      <c r="F205" s="7" t="s">
        <v>736</v>
      </c>
      <c r="G205" s="7" t="s">
        <v>754</v>
      </c>
      <c r="H205" s="9">
        <f t="shared" si="21"/>
        <v>9</v>
      </c>
      <c r="I205" s="7" t="s">
        <v>755</v>
      </c>
      <c r="J205" s="9">
        <f t="shared" si="22"/>
        <v>5</v>
      </c>
      <c r="K205" s="8" t="s">
        <v>64</v>
      </c>
      <c r="L205" s="8" t="s">
        <v>28</v>
      </c>
      <c r="M205" s="10">
        <v>-3.0949223029508647E-2</v>
      </c>
      <c r="N205" s="10">
        <v>0.9122446131268519</v>
      </c>
      <c r="O205" s="11" t="str">
        <f>IF(AND(N205&lt;0.05,OR(AND(L205="升高改善",M205&gt;0),AND(L205="降低改善",M205&lt;0))),"校正","不校正")</f>
        <v>不校正</v>
      </c>
      <c r="P205" s="8" t="s">
        <v>756</v>
      </c>
      <c r="Q205" s="8" t="s">
        <v>159</v>
      </c>
      <c r="R205" s="8" t="s">
        <v>160</v>
      </c>
      <c r="S205" s="8"/>
    </row>
    <row r="206" spans="1:19" ht="36" customHeight="1">
      <c r="A206" s="7" t="s">
        <v>757</v>
      </c>
      <c r="B206" s="7" t="s">
        <v>733</v>
      </c>
      <c r="C206" s="7" t="s">
        <v>753</v>
      </c>
      <c r="D206" s="7" t="s">
        <v>735</v>
      </c>
      <c r="E206" s="8" t="s">
        <v>81</v>
      </c>
      <c r="F206" s="7" t="s">
        <v>758</v>
      </c>
      <c r="G206" s="7" t="s">
        <v>754</v>
      </c>
      <c r="H206" s="9">
        <f t="shared" si="21"/>
        <v>9</v>
      </c>
      <c r="I206" s="7" t="s">
        <v>759</v>
      </c>
      <c r="J206" s="9">
        <f t="shared" si="22"/>
        <v>2</v>
      </c>
      <c r="K206" s="8" t="s">
        <v>64</v>
      </c>
      <c r="L206" s="8" t="s">
        <v>28</v>
      </c>
      <c r="M206" s="10">
        <v>-3.0949223029508647E-2</v>
      </c>
      <c r="N206" s="10">
        <v>0.9122446131268519</v>
      </c>
      <c r="O206" s="11" t="str">
        <f>IF(AND(N206&lt;0.05,OR(AND(L206="升高改善",M206&gt;0),AND(L206="降低改善",M206&lt;0))),"校正","不校正")</f>
        <v>不校正</v>
      </c>
      <c r="P206" s="8" t="s">
        <v>760</v>
      </c>
      <c r="Q206" s="8" t="s">
        <v>159</v>
      </c>
      <c r="R206" s="8" t="s">
        <v>160</v>
      </c>
      <c r="S206" s="8"/>
    </row>
    <row r="207" spans="1:19" ht="36" customHeight="1">
      <c r="A207" s="7" t="s">
        <v>761</v>
      </c>
      <c r="B207" s="7" t="s">
        <v>733</v>
      </c>
      <c r="C207" s="7" t="s">
        <v>753</v>
      </c>
      <c r="D207" s="7" t="s">
        <v>735</v>
      </c>
      <c r="E207" s="8" t="s">
        <v>34</v>
      </c>
      <c r="F207" s="7" t="s">
        <v>741</v>
      </c>
      <c r="G207" s="7" t="s">
        <v>762</v>
      </c>
      <c r="H207" s="9">
        <f t="shared" si="21"/>
        <v>2</v>
      </c>
      <c r="I207" s="7" t="s">
        <v>763</v>
      </c>
      <c r="J207" s="9">
        <f t="shared" si="22"/>
        <v>2</v>
      </c>
      <c r="K207" s="8" t="s">
        <v>64</v>
      </c>
      <c r="L207" s="8" t="s">
        <v>28</v>
      </c>
      <c r="M207" s="10">
        <v>-1</v>
      </c>
      <c r="N207" s="10">
        <v>0.31731050786291415</v>
      </c>
      <c r="O207" s="11" t="str">
        <f>IF(AND(N207&lt;0.05,OR(AND(L207="升高改善",M207&gt;0),AND(L207="降低改善",M207&lt;0))),"校正","不校正")</f>
        <v>不校正</v>
      </c>
      <c r="P207" s="8" t="s">
        <v>764</v>
      </c>
      <c r="Q207" s="8" t="s">
        <v>159</v>
      </c>
      <c r="R207" s="8" t="s">
        <v>160</v>
      </c>
      <c r="S207" s="8"/>
    </row>
    <row r="208" spans="1:19" ht="27" customHeight="1">
      <c r="A208" s="7" t="s">
        <v>765</v>
      </c>
      <c r="B208" s="7" t="s">
        <v>733</v>
      </c>
      <c r="C208" s="7" t="s">
        <v>766</v>
      </c>
      <c r="D208" s="7" t="s">
        <v>735</v>
      </c>
      <c r="E208" s="8" t="s">
        <v>23</v>
      </c>
      <c r="F208" s="7" t="s">
        <v>736</v>
      </c>
      <c r="G208" s="7" t="s">
        <v>767</v>
      </c>
      <c r="H208" s="9">
        <f t="shared" si="21"/>
        <v>12</v>
      </c>
      <c r="I208" s="7" t="s">
        <v>768</v>
      </c>
      <c r="J208" s="9">
        <f t="shared" si="22"/>
        <v>11</v>
      </c>
      <c r="K208" s="8" t="s">
        <v>64</v>
      </c>
      <c r="L208" s="8" t="s">
        <v>28</v>
      </c>
      <c r="M208" s="20"/>
      <c r="N208" s="20"/>
      <c r="O208" s="21" t="s">
        <v>190</v>
      </c>
      <c r="P208" s="8" t="s">
        <v>769</v>
      </c>
      <c r="Q208" s="8" t="s">
        <v>159</v>
      </c>
      <c r="R208" s="8" t="s">
        <v>160</v>
      </c>
      <c r="S208" s="8" t="s">
        <v>192</v>
      </c>
    </row>
    <row r="209" spans="1:19" ht="36" customHeight="1">
      <c r="A209" s="7" t="s">
        <v>770</v>
      </c>
      <c r="B209" s="7" t="s">
        <v>733</v>
      </c>
      <c r="C209" s="7" t="s">
        <v>766</v>
      </c>
      <c r="D209" s="7" t="s">
        <v>735</v>
      </c>
      <c r="E209" s="8" t="s">
        <v>81</v>
      </c>
      <c r="F209" s="7" t="s">
        <v>758</v>
      </c>
      <c r="G209" s="7" t="s">
        <v>767</v>
      </c>
      <c r="H209" s="9">
        <f t="shared" si="21"/>
        <v>12</v>
      </c>
      <c r="I209" s="7" t="s">
        <v>771</v>
      </c>
      <c r="J209" s="9">
        <f t="shared" si="22"/>
        <v>2</v>
      </c>
      <c r="K209" s="8" t="s">
        <v>64</v>
      </c>
      <c r="L209" s="8" t="s">
        <v>28</v>
      </c>
      <c r="M209" s="20"/>
      <c r="N209" s="20"/>
      <c r="O209" s="21" t="s">
        <v>190</v>
      </c>
      <c r="P209" s="8" t="s">
        <v>772</v>
      </c>
      <c r="Q209" s="8" t="s">
        <v>159</v>
      </c>
      <c r="R209" s="8" t="s">
        <v>160</v>
      </c>
      <c r="S209" s="8" t="s">
        <v>192</v>
      </c>
    </row>
    <row r="210" spans="1:19" ht="36" customHeight="1">
      <c r="A210" s="7" t="s">
        <v>773</v>
      </c>
      <c r="B210" s="7" t="s">
        <v>733</v>
      </c>
      <c r="C210" s="7" t="s">
        <v>766</v>
      </c>
      <c r="D210" s="7" t="s">
        <v>735</v>
      </c>
      <c r="E210" s="8" t="s">
        <v>34</v>
      </c>
      <c r="F210" s="7" t="s">
        <v>741</v>
      </c>
      <c r="G210" s="7" t="s">
        <v>774</v>
      </c>
      <c r="H210" s="9">
        <f t="shared" si="21"/>
        <v>2</v>
      </c>
      <c r="I210" s="7" t="s">
        <v>775</v>
      </c>
      <c r="J210" s="9">
        <f t="shared" si="22"/>
        <v>2</v>
      </c>
      <c r="K210" s="8" t="s">
        <v>64</v>
      </c>
      <c r="L210" s="8" t="s">
        <v>28</v>
      </c>
      <c r="M210" s="20"/>
      <c r="N210" s="20"/>
      <c r="O210" s="21" t="s">
        <v>190</v>
      </c>
      <c r="P210" s="8" t="s">
        <v>776</v>
      </c>
      <c r="Q210" s="8" t="s">
        <v>159</v>
      </c>
      <c r="R210" s="8" t="s">
        <v>160</v>
      </c>
      <c r="S210" s="8" t="s">
        <v>192</v>
      </c>
    </row>
    <row r="211" spans="1:19" ht="36" customHeight="1">
      <c r="A211" s="7" t="s">
        <v>777</v>
      </c>
      <c r="B211" s="7" t="s">
        <v>733</v>
      </c>
      <c r="C211" s="7" t="s">
        <v>734</v>
      </c>
      <c r="D211" s="7" t="s">
        <v>778</v>
      </c>
      <c r="E211" s="8" t="s">
        <v>23</v>
      </c>
      <c r="F211" s="7" t="s">
        <v>736</v>
      </c>
      <c r="G211" s="7" t="s">
        <v>779</v>
      </c>
      <c r="H211" s="9">
        <f t="shared" si="21"/>
        <v>3</v>
      </c>
      <c r="I211" s="7" t="s">
        <v>780</v>
      </c>
      <c r="J211" s="9">
        <f t="shared" si="22"/>
        <v>6</v>
      </c>
      <c r="K211" s="8" t="s">
        <v>781</v>
      </c>
      <c r="L211" s="8" t="s">
        <v>28</v>
      </c>
      <c r="M211" s="10">
        <v>1</v>
      </c>
      <c r="N211" s="10">
        <v>0.11718508719813807</v>
      </c>
      <c r="O211" s="11" t="str">
        <f>IF(AND(N211&lt;0.05,OR(AND(L211="升高改善",M211&gt;0),AND(L211="降低改善",M211&lt;0))),"校正","不校正")</f>
        <v>不校正</v>
      </c>
      <c r="P211" s="8" t="s">
        <v>782</v>
      </c>
      <c r="Q211" s="8" t="s">
        <v>159</v>
      </c>
      <c r="R211" s="8" t="s">
        <v>160</v>
      </c>
      <c r="S211" s="8"/>
    </row>
    <row r="212" spans="1:19" ht="36" customHeight="1">
      <c r="A212" s="7" t="s">
        <v>783</v>
      </c>
      <c r="B212" s="7" t="s">
        <v>733</v>
      </c>
      <c r="C212" s="7" t="s">
        <v>745</v>
      </c>
      <c r="D212" s="7" t="s">
        <v>778</v>
      </c>
      <c r="E212" s="8" t="s">
        <v>23</v>
      </c>
      <c r="F212" s="7" t="s">
        <v>736</v>
      </c>
      <c r="G212" s="7" t="s">
        <v>784</v>
      </c>
      <c r="H212" s="9">
        <f t="shared" si="21"/>
        <v>6</v>
      </c>
      <c r="I212" s="7" t="s">
        <v>785</v>
      </c>
      <c r="J212" s="9">
        <f t="shared" si="22"/>
        <v>5</v>
      </c>
      <c r="K212" s="8" t="s">
        <v>781</v>
      </c>
      <c r="L212" s="8" t="s">
        <v>28</v>
      </c>
      <c r="M212" s="10">
        <v>-0.6</v>
      </c>
      <c r="N212" s="10">
        <v>9.0873939986249083E-2</v>
      </c>
      <c r="O212" s="11" t="str">
        <f>IF(AND(N212&lt;0.05,OR(AND(L212="升高改善",M212&gt;0),AND(L212="降低改善",M212&lt;0))),"校正","不校正")</f>
        <v>不校正</v>
      </c>
      <c r="P212" s="8" t="s">
        <v>786</v>
      </c>
      <c r="Q212" s="8" t="s">
        <v>159</v>
      </c>
      <c r="R212" s="8" t="s">
        <v>160</v>
      </c>
      <c r="S212" s="8"/>
    </row>
    <row r="213" spans="1:19" ht="36" customHeight="1">
      <c r="A213" s="7" t="s">
        <v>787</v>
      </c>
      <c r="B213" s="7" t="s">
        <v>733</v>
      </c>
      <c r="C213" s="7" t="s">
        <v>745</v>
      </c>
      <c r="D213" s="7" t="s">
        <v>778</v>
      </c>
      <c r="E213" s="8" t="s">
        <v>34</v>
      </c>
      <c r="F213" s="7" t="s">
        <v>741</v>
      </c>
      <c r="G213" s="7" t="s">
        <v>185</v>
      </c>
      <c r="H213" s="9">
        <f t="shared" si="21"/>
        <v>1</v>
      </c>
      <c r="I213" s="7" t="s">
        <v>622</v>
      </c>
      <c r="J213" s="9">
        <f t="shared" si="22"/>
        <v>1</v>
      </c>
      <c r="K213" s="8" t="s">
        <v>781</v>
      </c>
      <c r="L213" s="8" t="s">
        <v>28</v>
      </c>
      <c r="M213" s="20"/>
      <c r="N213" s="20"/>
      <c r="O213" s="21" t="s">
        <v>167</v>
      </c>
      <c r="P213" s="8" t="s">
        <v>788</v>
      </c>
      <c r="Q213" s="8" t="s">
        <v>159</v>
      </c>
      <c r="R213" s="8" t="s">
        <v>160</v>
      </c>
      <c r="S213" s="8" t="s">
        <v>169</v>
      </c>
    </row>
    <row r="214" spans="1:19" ht="36" customHeight="1">
      <c r="A214" s="7" t="s">
        <v>789</v>
      </c>
      <c r="B214" s="7" t="s">
        <v>733</v>
      </c>
      <c r="C214" s="7" t="s">
        <v>753</v>
      </c>
      <c r="D214" s="7" t="s">
        <v>778</v>
      </c>
      <c r="E214" s="8" t="s">
        <v>23</v>
      </c>
      <c r="F214" s="7" t="s">
        <v>736</v>
      </c>
      <c r="G214" s="7" t="s">
        <v>790</v>
      </c>
      <c r="H214" s="9">
        <f t="shared" si="21"/>
        <v>9</v>
      </c>
      <c r="I214" s="7" t="s">
        <v>791</v>
      </c>
      <c r="J214" s="9">
        <f t="shared" si="22"/>
        <v>5</v>
      </c>
      <c r="K214" s="8" t="s">
        <v>781</v>
      </c>
      <c r="L214" s="8" t="s">
        <v>28</v>
      </c>
      <c r="M214" s="10">
        <v>-0.34299717028501769</v>
      </c>
      <c r="N214" s="10">
        <v>0.2059032107320683</v>
      </c>
      <c r="O214" s="11" t="str">
        <f>IF(AND(N214&lt;0.05,OR(AND(L214="升高改善",M214&gt;0),AND(L214="降低改善",M214&lt;0))),"校正","不校正")</f>
        <v>不校正</v>
      </c>
      <c r="P214" s="8" t="s">
        <v>792</v>
      </c>
      <c r="Q214" s="8" t="s">
        <v>159</v>
      </c>
      <c r="R214" s="8" t="s">
        <v>160</v>
      </c>
      <c r="S214" s="8"/>
    </row>
    <row r="215" spans="1:19" ht="48" customHeight="1">
      <c r="A215" s="7" t="s">
        <v>793</v>
      </c>
      <c r="B215" s="7" t="s">
        <v>733</v>
      </c>
      <c r="C215" s="7" t="s">
        <v>753</v>
      </c>
      <c r="D215" s="7" t="s">
        <v>778</v>
      </c>
      <c r="E215" s="8" t="s">
        <v>81</v>
      </c>
      <c r="F215" s="7" t="s">
        <v>758</v>
      </c>
      <c r="G215" s="7" t="s">
        <v>790</v>
      </c>
      <c r="H215" s="9">
        <f t="shared" si="21"/>
        <v>9</v>
      </c>
      <c r="I215" s="7" t="s">
        <v>794</v>
      </c>
      <c r="J215" s="9">
        <f t="shared" si="22"/>
        <v>2</v>
      </c>
      <c r="K215" s="8" t="s">
        <v>781</v>
      </c>
      <c r="L215" s="8" t="s">
        <v>28</v>
      </c>
      <c r="M215" s="10">
        <v>-0.34299717028501769</v>
      </c>
      <c r="N215" s="10">
        <v>0.2059032107320683</v>
      </c>
      <c r="O215" s="11" t="str">
        <f>IF(AND(N215&lt;0.05,OR(AND(L215="升高改善",M215&gt;0),AND(L215="降低改善",M215&lt;0))),"校正","不校正")</f>
        <v>不校正</v>
      </c>
      <c r="P215" s="8" t="s">
        <v>795</v>
      </c>
      <c r="Q215" s="8" t="s">
        <v>159</v>
      </c>
      <c r="R215" s="8" t="s">
        <v>160</v>
      </c>
      <c r="S215" s="8"/>
    </row>
    <row r="216" spans="1:19" ht="36" customHeight="1">
      <c r="A216" s="7" t="s">
        <v>796</v>
      </c>
      <c r="B216" s="7" t="s">
        <v>733</v>
      </c>
      <c r="C216" s="7" t="s">
        <v>753</v>
      </c>
      <c r="D216" s="7" t="s">
        <v>778</v>
      </c>
      <c r="E216" s="8" t="s">
        <v>34</v>
      </c>
      <c r="F216" s="7" t="s">
        <v>741</v>
      </c>
      <c r="G216" s="7" t="s">
        <v>797</v>
      </c>
      <c r="H216" s="9">
        <f t="shared" si="21"/>
        <v>2</v>
      </c>
      <c r="I216" s="7" t="s">
        <v>798</v>
      </c>
      <c r="J216" s="9">
        <f t="shared" si="22"/>
        <v>2</v>
      </c>
      <c r="K216" s="8" t="s">
        <v>781</v>
      </c>
      <c r="L216" s="8" t="s">
        <v>28</v>
      </c>
      <c r="M216" s="10">
        <v>-1</v>
      </c>
      <c r="N216" s="10">
        <v>0.31731050786291415</v>
      </c>
      <c r="O216" s="11" t="str">
        <f>IF(AND(N216&lt;0.05,OR(AND(L216="升高改善",M216&gt;0),AND(L216="降低改善",M216&lt;0))),"校正","不校正")</f>
        <v>不校正</v>
      </c>
      <c r="P216" s="8" t="s">
        <v>799</v>
      </c>
      <c r="Q216" s="8" t="s">
        <v>159</v>
      </c>
      <c r="R216" s="8" t="s">
        <v>160</v>
      </c>
      <c r="S216" s="8"/>
    </row>
    <row r="217" spans="1:19" ht="36" customHeight="1">
      <c r="A217" s="7" t="s">
        <v>800</v>
      </c>
      <c r="B217" s="7" t="s">
        <v>733</v>
      </c>
      <c r="C217" s="7" t="s">
        <v>766</v>
      </c>
      <c r="D217" s="7" t="s">
        <v>778</v>
      </c>
      <c r="E217" s="8" t="s">
        <v>23</v>
      </c>
      <c r="F217" s="7" t="s">
        <v>736</v>
      </c>
      <c r="G217" s="7" t="s">
        <v>801</v>
      </c>
      <c r="H217" s="9">
        <f t="shared" si="21"/>
        <v>12</v>
      </c>
      <c r="I217" s="7" t="s">
        <v>802</v>
      </c>
      <c r="J217" s="9">
        <f t="shared" si="22"/>
        <v>11</v>
      </c>
      <c r="K217" s="8" t="s">
        <v>781</v>
      </c>
      <c r="L217" s="8" t="s">
        <v>28</v>
      </c>
      <c r="M217" s="10">
        <v>0.11134044285378082</v>
      </c>
      <c r="N217" s="10">
        <v>0.66390790187764892</v>
      </c>
      <c r="O217" s="11" t="str">
        <f>IF(AND(N217&lt;0.05,OR(AND(L217="升高改善",M217&gt;0),AND(L217="降低改善",M217&lt;0))),"校正","不校正")</f>
        <v>不校正</v>
      </c>
      <c r="P217" s="8" t="s">
        <v>803</v>
      </c>
      <c r="Q217" s="8" t="s">
        <v>159</v>
      </c>
      <c r="R217" s="8" t="s">
        <v>160</v>
      </c>
      <c r="S217" s="8"/>
    </row>
    <row r="218" spans="1:19" ht="48" customHeight="1">
      <c r="A218" s="7" t="s">
        <v>804</v>
      </c>
      <c r="B218" s="7" t="s">
        <v>733</v>
      </c>
      <c r="C218" s="7" t="s">
        <v>766</v>
      </c>
      <c r="D218" s="7" t="s">
        <v>778</v>
      </c>
      <c r="E218" s="8" t="s">
        <v>81</v>
      </c>
      <c r="F218" s="7" t="s">
        <v>758</v>
      </c>
      <c r="G218" s="7" t="s">
        <v>801</v>
      </c>
      <c r="H218" s="9">
        <f t="shared" si="21"/>
        <v>12</v>
      </c>
      <c r="I218" s="7" t="s">
        <v>805</v>
      </c>
      <c r="J218" s="9">
        <f t="shared" si="22"/>
        <v>2</v>
      </c>
      <c r="K218" s="8" t="s">
        <v>781</v>
      </c>
      <c r="L218" s="8" t="s">
        <v>28</v>
      </c>
      <c r="M218" s="10">
        <v>0.11134044285378082</v>
      </c>
      <c r="N218" s="10">
        <v>0.66390790187764892</v>
      </c>
      <c r="O218" s="11" t="str">
        <f>IF(AND(N218&lt;0.05,OR(AND(L218="升高改善",M218&gt;0),AND(L218="降低改善",M218&lt;0))),"校正","不校正")</f>
        <v>不校正</v>
      </c>
      <c r="P218" s="8" t="s">
        <v>806</v>
      </c>
      <c r="Q218" s="8" t="s">
        <v>159</v>
      </c>
      <c r="R218" s="8" t="s">
        <v>160</v>
      </c>
      <c r="S218" s="8"/>
    </row>
    <row r="219" spans="1:19" ht="36" customHeight="1">
      <c r="A219" s="7" t="s">
        <v>807</v>
      </c>
      <c r="B219" s="7" t="s">
        <v>733</v>
      </c>
      <c r="C219" s="7" t="s">
        <v>766</v>
      </c>
      <c r="D219" s="7" t="s">
        <v>778</v>
      </c>
      <c r="E219" s="8" t="s">
        <v>34</v>
      </c>
      <c r="F219" s="7" t="s">
        <v>741</v>
      </c>
      <c r="G219" s="7" t="s">
        <v>774</v>
      </c>
      <c r="H219" s="9">
        <f t="shared" si="21"/>
        <v>2</v>
      </c>
      <c r="I219" s="7" t="s">
        <v>808</v>
      </c>
      <c r="J219" s="9">
        <f t="shared" si="22"/>
        <v>2</v>
      </c>
      <c r="K219" s="8" t="s">
        <v>781</v>
      </c>
      <c r="L219" s="8" t="s">
        <v>28</v>
      </c>
      <c r="M219" s="20"/>
      <c r="N219" s="20"/>
      <c r="O219" s="21" t="s">
        <v>190</v>
      </c>
      <c r="P219" s="8" t="s">
        <v>809</v>
      </c>
      <c r="Q219" s="8" t="s">
        <v>159</v>
      </c>
      <c r="R219" s="8" t="s">
        <v>160</v>
      </c>
      <c r="S219" s="8" t="s">
        <v>192</v>
      </c>
    </row>
    <row r="220" spans="1:19" ht="27" customHeight="1">
      <c r="A220" s="7" t="s">
        <v>810</v>
      </c>
      <c r="B220" s="7" t="s">
        <v>733</v>
      </c>
      <c r="C220" s="7" t="s">
        <v>734</v>
      </c>
      <c r="D220" s="7" t="s">
        <v>811</v>
      </c>
      <c r="E220" s="8" t="s">
        <v>23</v>
      </c>
      <c r="F220" s="7" t="s">
        <v>736</v>
      </c>
      <c r="G220" s="7" t="s">
        <v>812</v>
      </c>
      <c r="H220" s="9">
        <f t="shared" si="21"/>
        <v>3</v>
      </c>
      <c r="I220" s="7" t="s">
        <v>813</v>
      </c>
      <c r="J220" s="9">
        <f t="shared" si="22"/>
        <v>6</v>
      </c>
      <c r="K220" s="8" t="s">
        <v>64</v>
      </c>
      <c r="L220" s="8" t="s">
        <v>101</v>
      </c>
      <c r="M220" s="10">
        <v>-1</v>
      </c>
      <c r="N220" s="10">
        <v>0.11718508719813807</v>
      </c>
      <c r="O220" s="11" t="str">
        <f>IF(AND(N220&lt;0.05,OR(AND(L220="升高改善",M220&gt;0),AND(L220="降低改善",M220&lt;0))),"校正","不校正")</f>
        <v>不校正</v>
      </c>
      <c r="P220" s="8" t="s">
        <v>814</v>
      </c>
      <c r="Q220" s="8" t="s">
        <v>159</v>
      </c>
      <c r="R220" s="8" t="s">
        <v>160</v>
      </c>
      <c r="S220" s="8"/>
    </row>
    <row r="221" spans="1:19" ht="36" customHeight="1">
      <c r="A221" s="7" t="s">
        <v>815</v>
      </c>
      <c r="B221" s="7" t="s">
        <v>733</v>
      </c>
      <c r="C221" s="7" t="s">
        <v>734</v>
      </c>
      <c r="D221" s="7" t="s">
        <v>811</v>
      </c>
      <c r="E221" s="8" t="s">
        <v>34</v>
      </c>
      <c r="F221" s="7" t="s">
        <v>741</v>
      </c>
      <c r="G221" s="7" t="s">
        <v>701</v>
      </c>
      <c r="H221" s="9">
        <f t="shared" si="21"/>
        <v>1</v>
      </c>
      <c r="I221" s="7" t="s">
        <v>196</v>
      </c>
      <c r="J221" s="9">
        <f t="shared" si="22"/>
        <v>1</v>
      </c>
      <c r="K221" s="8" t="s">
        <v>64</v>
      </c>
      <c r="L221" s="8" t="s">
        <v>101</v>
      </c>
      <c r="M221" s="20"/>
      <c r="N221" s="20"/>
      <c r="O221" s="21" t="s">
        <v>167</v>
      </c>
      <c r="P221" s="8" t="s">
        <v>816</v>
      </c>
      <c r="Q221" s="8" t="s">
        <v>159</v>
      </c>
      <c r="R221" s="8" t="s">
        <v>160</v>
      </c>
      <c r="S221" s="8" t="s">
        <v>169</v>
      </c>
    </row>
    <row r="222" spans="1:19" ht="36" customHeight="1">
      <c r="A222" s="7" t="s">
        <v>817</v>
      </c>
      <c r="B222" s="7" t="s">
        <v>733</v>
      </c>
      <c r="C222" s="7" t="s">
        <v>734</v>
      </c>
      <c r="D222" s="7" t="s">
        <v>818</v>
      </c>
      <c r="E222" s="8" t="s">
        <v>94</v>
      </c>
      <c r="F222" s="32" t="s">
        <v>819</v>
      </c>
      <c r="G222" s="22"/>
      <c r="H222" s="23"/>
      <c r="I222" s="22"/>
      <c r="J222" s="23"/>
      <c r="K222" s="8" t="s">
        <v>64</v>
      </c>
      <c r="L222" s="8"/>
      <c r="M222" s="20"/>
      <c r="N222" s="20"/>
      <c r="O222" s="21"/>
      <c r="P222" s="8" t="s">
        <v>820</v>
      </c>
      <c r="Q222" s="8" t="s">
        <v>159</v>
      </c>
      <c r="R222" s="24" t="s">
        <v>94</v>
      </c>
      <c r="S222" s="8" t="s">
        <v>821</v>
      </c>
    </row>
    <row r="223" spans="1:19" ht="27" customHeight="1">
      <c r="A223" s="7" t="s">
        <v>822</v>
      </c>
      <c r="B223" s="7" t="s">
        <v>733</v>
      </c>
      <c r="C223" s="7" t="s">
        <v>745</v>
      </c>
      <c r="D223" s="7" t="s">
        <v>811</v>
      </c>
      <c r="E223" s="8" t="s">
        <v>23</v>
      </c>
      <c r="F223" s="7" t="s">
        <v>736</v>
      </c>
      <c r="G223" s="7" t="s">
        <v>823</v>
      </c>
      <c r="H223" s="9">
        <f>IF(LEN(G223)=0,"",IF(ISNUMBER(SEARCH(",",G223)),LEN(SUBSTITUTE(G223,",","xx"))-LEN(G223)+1,1))</f>
        <v>6</v>
      </c>
      <c r="I223" s="7" t="s">
        <v>401</v>
      </c>
      <c r="J223" s="9">
        <f>IF(LEN(I223)=0,"",IF(ISNUMBER(SEARCH(",",I223)),LEN(SUBSTITUTE(I223,",","xx"))-LEN(I223)+1,1))</f>
        <v>5</v>
      </c>
      <c r="K223" s="8" t="s">
        <v>64</v>
      </c>
      <c r="L223" s="8" t="s">
        <v>101</v>
      </c>
      <c r="M223" s="10">
        <v>0.2</v>
      </c>
      <c r="N223" s="10">
        <v>0.57302511935539036</v>
      </c>
      <c r="O223" s="11" t="str">
        <f>IF(AND(N223&lt;0.05,OR(AND(L223="升高改善",M223&gt;0),AND(L223="降低改善",M223&lt;0))),"校正","不校正")</f>
        <v>不校正</v>
      </c>
      <c r="P223" s="8" t="s">
        <v>824</v>
      </c>
      <c r="Q223" s="8" t="s">
        <v>159</v>
      </c>
      <c r="R223" s="8" t="s">
        <v>160</v>
      </c>
      <c r="S223" s="8"/>
    </row>
    <row r="224" spans="1:19" ht="36" customHeight="1">
      <c r="A224" s="7" t="s">
        <v>825</v>
      </c>
      <c r="B224" s="7" t="s">
        <v>733</v>
      </c>
      <c r="C224" s="7" t="s">
        <v>745</v>
      </c>
      <c r="D224" s="7" t="s">
        <v>811</v>
      </c>
      <c r="E224" s="8" t="s">
        <v>34</v>
      </c>
      <c r="F224" s="7" t="s">
        <v>741</v>
      </c>
      <c r="G224" s="7" t="s">
        <v>826</v>
      </c>
      <c r="H224" s="9">
        <f>IF(LEN(G224)=0,"",IF(ISNUMBER(SEARCH(",",G224)),LEN(SUBSTITUTE(G224,",","xx"))-LEN(G224)+1,1))</f>
        <v>1</v>
      </c>
      <c r="I224" s="7" t="s">
        <v>196</v>
      </c>
      <c r="J224" s="9">
        <f>IF(LEN(I224)=0,"",IF(ISNUMBER(SEARCH(",",I224)),LEN(SUBSTITUTE(I224,",","xx"))-LEN(I224)+1,1))</f>
        <v>1</v>
      </c>
      <c r="K224" s="8" t="s">
        <v>64</v>
      </c>
      <c r="L224" s="8" t="s">
        <v>101</v>
      </c>
      <c r="M224" s="20"/>
      <c r="N224" s="20"/>
      <c r="O224" s="21" t="s">
        <v>167</v>
      </c>
      <c r="P224" s="8" t="s">
        <v>827</v>
      </c>
      <c r="Q224" s="8" t="s">
        <v>159</v>
      </c>
      <c r="R224" s="8" t="s">
        <v>160</v>
      </c>
      <c r="S224" s="8" t="s">
        <v>169</v>
      </c>
    </row>
    <row r="225" spans="1:19" ht="36" customHeight="1">
      <c r="A225" s="7" t="s">
        <v>828</v>
      </c>
      <c r="B225" s="7" t="s">
        <v>733</v>
      </c>
      <c r="C225" s="7" t="s">
        <v>745</v>
      </c>
      <c r="D225" s="7" t="s">
        <v>818</v>
      </c>
      <c r="E225" s="8" t="s">
        <v>94</v>
      </c>
      <c r="F225" s="32" t="s">
        <v>819</v>
      </c>
      <c r="G225" s="22"/>
      <c r="H225" s="23"/>
      <c r="I225" s="22"/>
      <c r="J225" s="23"/>
      <c r="K225" s="8" t="s">
        <v>64</v>
      </c>
      <c r="L225" s="8"/>
      <c r="M225" s="20"/>
      <c r="N225" s="20"/>
      <c r="O225" s="21"/>
      <c r="P225" s="8" t="s">
        <v>829</v>
      </c>
      <c r="Q225" s="8" t="s">
        <v>159</v>
      </c>
      <c r="R225" s="24" t="s">
        <v>94</v>
      </c>
      <c r="S225" s="8" t="s">
        <v>821</v>
      </c>
    </row>
    <row r="226" spans="1:19" ht="27" customHeight="1">
      <c r="A226" s="7" t="s">
        <v>830</v>
      </c>
      <c r="B226" s="7" t="s">
        <v>733</v>
      </c>
      <c r="C226" s="7" t="s">
        <v>753</v>
      </c>
      <c r="D226" s="7" t="s">
        <v>811</v>
      </c>
      <c r="E226" s="8" t="s">
        <v>23</v>
      </c>
      <c r="F226" s="7" t="s">
        <v>736</v>
      </c>
      <c r="G226" s="7" t="s">
        <v>831</v>
      </c>
      <c r="H226" s="9">
        <f>IF(LEN(G226)=0,"",IF(ISNUMBER(SEARCH(",",G226)),LEN(SUBSTITUTE(G226,",","xx"))-LEN(G226)+1,1))</f>
        <v>9</v>
      </c>
      <c r="I226" s="7" t="s">
        <v>832</v>
      </c>
      <c r="J226" s="9">
        <f>IF(LEN(I226)=0,"",IF(ISNUMBER(SEARCH(",",I226)),LEN(SUBSTITUTE(I226,",","xx"))-LEN(I226)+1,1))</f>
        <v>5</v>
      </c>
      <c r="K226" s="8" t="s">
        <v>64</v>
      </c>
      <c r="L226" s="8" t="s">
        <v>101</v>
      </c>
      <c r="M226" s="10">
        <v>-0.22222222222222221</v>
      </c>
      <c r="N226" s="10">
        <v>0.40424849473947105</v>
      </c>
      <c r="O226" s="11" t="str">
        <f>IF(AND(N226&lt;0.05,OR(AND(L226="升高改善",M226&gt;0),AND(L226="降低改善",M226&lt;0))),"校正","不校正")</f>
        <v>不校正</v>
      </c>
      <c r="P226" s="8" t="s">
        <v>833</v>
      </c>
      <c r="Q226" s="8" t="s">
        <v>159</v>
      </c>
      <c r="R226" s="8" t="s">
        <v>160</v>
      </c>
      <c r="S226" s="8"/>
    </row>
    <row r="227" spans="1:19" ht="36" customHeight="1">
      <c r="A227" s="7" t="s">
        <v>834</v>
      </c>
      <c r="B227" s="7" t="s">
        <v>733</v>
      </c>
      <c r="C227" s="7" t="s">
        <v>753</v>
      </c>
      <c r="D227" s="7" t="s">
        <v>811</v>
      </c>
      <c r="E227" s="8" t="s">
        <v>81</v>
      </c>
      <c r="F227" s="7" t="s">
        <v>758</v>
      </c>
      <c r="G227" s="7" t="s">
        <v>831</v>
      </c>
      <c r="H227" s="9">
        <f>IF(LEN(G227)=0,"",IF(ISNUMBER(SEARCH(",",G227)),LEN(SUBSTITUTE(G227,",","xx"))-LEN(G227)+1,1))</f>
        <v>9</v>
      </c>
      <c r="I227" s="7" t="s">
        <v>835</v>
      </c>
      <c r="J227" s="9">
        <f>IF(LEN(I227)=0,"",IF(ISNUMBER(SEARCH(",",I227)),LEN(SUBSTITUTE(I227,",","xx"))-LEN(I227)+1,1))</f>
        <v>2</v>
      </c>
      <c r="K227" s="8" t="s">
        <v>64</v>
      </c>
      <c r="L227" s="8" t="s">
        <v>101</v>
      </c>
      <c r="M227" s="10">
        <v>-0.22222222222222221</v>
      </c>
      <c r="N227" s="10">
        <v>0.40424849473947105</v>
      </c>
      <c r="O227" s="11" t="str">
        <f>IF(AND(N227&lt;0.05,OR(AND(L227="升高改善",M227&gt;0),AND(L227="降低改善",M227&lt;0))),"校正","不校正")</f>
        <v>不校正</v>
      </c>
      <c r="P227" s="8" t="s">
        <v>836</v>
      </c>
      <c r="Q227" s="8" t="s">
        <v>159</v>
      </c>
      <c r="R227" s="8" t="s">
        <v>160</v>
      </c>
      <c r="S227" s="8"/>
    </row>
    <row r="228" spans="1:19" ht="36" customHeight="1">
      <c r="A228" s="7" t="s">
        <v>837</v>
      </c>
      <c r="B228" s="7" t="s">
        <v>733</v>
      </c>
      <c r="C228" s="7" t="s">
        <v>753</v>
      </c>
      <c r="D228" s="7" t="s">
        <v>811</v>
      </c>
      <c r="E228" s="8" t="s">
        <v>34</v>
      </c>
      <c r="F228" s="7" t="s">
        <v>741</v>
      </c>
      <c r="G228" s="7" t="s">
        <v>838</v>
      </c>
      <c r="H228" s="9">
        <f>IF(LEN(G228)=0,"",IF(ISNUMBER(SEARCH(",",G228)),LEN(SUBSTITUTE(G228,",","xx"))-LEN(G228)+1,1))</f>
        <v>2</v>
      </c>
      <c r="I228" s="7" t="s">
        <v>839</v>
      </c>
      <c r="J228" s="9">
        <f>IF(LEN(I228)=0,"",IF(ISNUMBER(SEARCH(",",I228)),LEN(SUBSTITUTE(I228,",","xx"))-LEN(I228)+1,1))</f>
        <v>2</v>
      </c>
      <c r="K228" s="8" t="s">
        <v>64</v>
      </c>
      <c r="L228" s="8" t="s">
        <v>101</v>
      </c>
      <c r="M228" s="10">
        <v>1</v>
      </c>
      <c r="N228" s="10">
        <v>0.31731050786291415</v>
      </c>
      <c r="O228" s="11" t="str">
        <f>IF(AND(N228&lt;0.05,OR(AND(L228="升高改善",M228&gt;0),AND(L228="降低改善",M228&lt;0))),"校正","不校正")</f>
        <v>不校正</v>
      </c>
      <c r="P228" s="8" t="s">
        <v>840</v>
      </c>
      <c r="Q228" s="8" t="s">
        <v>159</v>
      </c>
      <c r="R228" s="8" t="s">
        <v>160</v>
      </c>
      <c r="S228" s="8"/>
    </row>
    <row r="229" spans="1:19" ht="36" customHeight="1">
      <c r="A229" s="7" t="s">
        <v>841</v>
      </c>
      <c r="B229" s="7" t="s">
        <v>733</v>
      </c>
      <c r="C229" s="7" t="s">
        <v>753</v>
      </c>
      <c r="D229" s="7" t="s">
        <v>818</v>
      </c>
      <c r="E229" s="8" t="s">
        <v>94</v>
      </c>
      <c r="F229" s="32" t="s">
        <v>819</v>
      </c>
      <c r="G229" s="22"/>
      <c r="H229" s="23"/>
      <c r="I229" s="22"/>
      <c r="J229" s="23"/>
      <c r="K229" s="8" t="s">
        <v>64</v>
      </c>
      <c r="L229" s="8"/>
      <c r="M229" s="20"/>
      <c r="N229" s="20"/>
      <c r="O229" s="21"/>
      <c r="P229" s="8" t="s">
        <v>842</v>
      </c>
      <c r="Q229" s="8" t="s">
        <v>159</v>
      </c>
      <c r="R229" s="24" t="s">
        <v>94</v>
      </c>
      <c r="S229" s="8" t="s">
        <v>821</v>
      </c>
    </row>
    <row r="230" spans="1:19" ht="27" customHeight="1">
      <c r="A230" s="7" t="s">
        <v>843</v>
      </c>
      <c r="B230" s="7" t="s">
        <v>733</v>
      </c>
      <c r="C230" s="7" t="s">
        <v>766</v>
      </c>
      <c r="D230" s="7" t="s">
        <v>811</v>
      </c>
      <c r="E230" s="8" t="s">
        <v>23</v>
      </c>
      <c r="F230" s="7" t="s">
        <v>736</v>
      </c>
      <c r="G230" s="7" t="s">
        <v>844</v>
      </c>
      <c r="H230" s="9">
        <f>IF(LEN(G230)=0,"",IF(ISNUMBER(SEARCH(",",G230)),LEN(SUBSTITUTE(G230,",","xx"))-LEN(G230)+1,1))</f>
        <v>12</v>
      </c>
      <c r="I230" s="7" t="s">
        <v>845</v>
      </c>
      <c r="J230" s="9">
        <f>IF(LEN(I230)=0,"",IF(ISNUMBER(SEARCH(",",I230)),LEN(SUBSTITUTE(I230,",","xx"))-LEN(I230)+1,1))</f>
        <v>11</v>
      </c>
      <c r="K230" s="8" t="s">
        <v>64</v>
      </c>
      <c r="L230" s="8" t="s">
        <v>101</v>
      </c>
      <c r="M230" s="10">
        <v>0.10889310129609417</v>
      </c>
      <c r="N230" s="10">
        <v>0.65412138688570531</v>
      </c>
      <c r="O230" s="11" t="str">
        <f>IF(AND(N230&lt;0.05,OR(AND(L230="升高改善",M230&gt;0),AND(L230="降低改善",M230&lt;0))),"校正","不校正")</f>
        <v>不校正</v>
      </c>
      <c r="P230" s="8" t="s">
        <v>846</v>
      </c>
      <c r="Q230" s="8" t="s">
        <v>159</v>
      </c>
      <c r="R230" s="8" t="s">
        <v>160</v>
      </c>
      <c r="S230" s="8"/>
    </row>
    <row r="231" spans="1:19" ht="36" customHeight="1">
      <c r="A231" s="7" t="s">
        <v>847</v>
      </c>
      <c r="B231" s="7" t="s">
        <v>733</v>
      </c>
      <c r="C231" s="7" t="s">
        <v>766</v>
      </c>
      <c r="D231" s="7" t="s">
        <v>811</v>
      </c>
      <c r="E231" s="8" t="s">
        <v>81</v>
      </c>
      <c r="F231" s="7" t="s">
        <v>758</v>
      </c>
      <c r="G231" s="7" t="s">
        <v>844</v>
      </c>
      <c r="H231" s="9">
        <f>IF(LEN(G231)=0,"",IF(ISNUMBER(SEARCH(",",G231)),LEN(SUBSTITUTE(G231,",","xx"))-LEN(G231)+1,1))</f>
        <v>12</v>
      </c>
      <c r="I231" s="7" t="s">
        <v>36</v>
      </c>
      <c r="J231" s="9">
        <f>IF(LEN(I231)=0,"",IF(ISNUMBER(SEARCH(",",I231)),LEN(SUBSTITUTE(I231,",","xx"))-LEN(I231)+1,1))</f>
        <v>2</v>
      </c>
      <c r="K231" s="8" t="s">
        <v>64</v>
      </c>
      <c r="L231" s="8" t="s">
        <v>101</v>
      </c>
      <c r="M231" s="10">
        <v>0.10889310129609417</v>
      </c>
      <c r="N231" s="10">
        <v>0.65412138688570531</v>
      </c>
      <c r="O231" s="11" t="str">
        <f>IF(AND(N231&lt;0.05,OR(AND(L231="升高改善",M231&gt;0),AND(L231="降低改善",M231&lt;0))),"校正","不校正")</f>
        <v>不校正</v>
      </c>
      <c r="P231" s="8" t="s">
        <v>848</v>
      </c>
      <c r="Q231" s="8" t="s">
        <v>159</v>
      </c>
      <c r="R231" s="8" t="s">
        <v>160</v>
      </c>
      <c r="S231" s="8"/>
    </row>
    <row r="232" spans="1:19" ht="36" customHeight="1">
      <c r="A232" s="7" t="s">
        <v>849</v>
      </c>
      <c r="B232" s="7" t="s">
        <v>733</v>
      </c>
      <c r="C232" s="7" t="s">
        <v>766</v>
      </c>
      <c r="D232" s="7" t="s">
        <v>818</v>
      </c>
      <c r="E232" s="8" t="s">
        <v>94</v>
      </c>
      <c r="F232" s="32" t="s">
        <v>819</v>
      </c>
      <c r="G232" s="22"/>
      <c r="H232" s="23"/>
      <c r="I232" s="22"/>
      <c r="J232" s="23"/>
      <c r="K232" s="8" t="s">
        <v>64</v>
      </c>
      <c r="L232" s="8"/>
      <c r="M232" s="20"/>
      <c r="N232" s="20"/>
      <c r="O232" s="21"/>
      <c r="P232" s="8" t="s">
        <v>850</v>
      </c>
      <c r="Q232" s="8" t="s">
        <v>159</v>
      </c>
      <c r="R232" s="24" t="s">
        <v>94</v>
      </c>
      <c r="S232" s="8" t="s">
        <v>821</v>
      </c>
    </row>
    <row r="233" spans="1:19" ht="60" customHeight="1">
      <c r="A233" s="12" t="s">
        <v>851</v>
      </c>
      <c r="B233" s="12" t="s">
        <v>852</v>
      </c>
      <c r="C233" s="12" t="s">
        <v>853</v>
      </c>
      <c r="D233" s="12" t="s">
        <v>854</v>
      </c>
      <c r="E233" s="13" t="s">
        <v>23</v>
      </c>
      <c r="F233" s="12" t="s">
        <v>132</v>
      </c>
      <c r="G233" s="33"/>
      <c r="H233" s="34"/>
      <c r="I233" s="33"/>
      <c r="J233" s="34"/>
      <c r="K233" s="13" t="s">
        <v>64</v>
      </c>
      <c r="L233" s="13" t="s">
        <v>28</v>
      </c>
      <c r="M233" s="15"/>
      <c r="N233" s="15"/>
      <c r="O233" s="16"/>
      <c r="P233" s="13" t="s">
        <v>855</v>
      </c>
      <c r="Q233" s="13" t="s">
        <v>159</v>
      </c>
      <c r="R233" s="35" t="s">
        <v>94</v>
      </c>
      <c r="S233" s="13" t="s">
        <v>856</v>
      </c>
    </row>
    <row r="234" spans="1:19" ht="60" customHeight="1">
      <c r="A234" s="17" t="s">
        <v>857</v>
      </c>
      <c r="B234" s="17" t="s">
        <v>852</v>
      </c>
      <c r="C234" s="17" t="s">
        <v>853</v>
      </c>
      <c r="D234" s="17" t="s">
        <v>854</v>
      </c>
      <c r="E234" s="18" t="s">
        <v>81</v>
      </c>
      <c r="F234" s="17" t="s">
        <v>82</v>
      </c>
      <c r="G234" s="22"/>
      <c r="H234" s="23"/>
      <c r="I234" s="22"/>
      <c r="J234" s="23"/>
      <c r="K234" s="18" t="s">
        <v>64</v>
      </c>
      <c r="L234" s="18" t="s">
        <v>28</v>
      </c>
      <c r="M234" s="20"/>
      <c r="N234" s="20"/>
      <c r="O234" s="21"/>
      <c r="P234" s="18" t="s">
        <v>855</v>
      </c>
      <c r="Q234" s="18" t="s">
        <v>159</v>
      </c>
      <c r="R234" s="24" t="s">
        <v>94</v>
      </c>
      <c r="S234" s="18" t="s">
        <v>856</v>
      </c>
    </row>
    <row r="235" spans="1:19" ht="72" customHeight="1">
      <c r="A235" s="17" t="s">
        <v>858</v>
      </c>
      <c r="B235" s="17" t="s">
        <v>852</v>
      </c>
      <c r="C235" s="17" t="s">
        <v>853</v>
      </c>
      <c r="D235" s="17" t="s">
        <v>854</v>
      </c>
      <c r="E235" s="18" t="s">
        <v>34</v>
      </c>
      <c r="F235" s="17" t="s">
        <v>859</v>
      </c>
      <c r="G235" s="17" t="s">
        <v>196</v>
      </c>
      <c r="H235" s="19">
        <f t="shared" ref="H235:H266" si="23">IF(LEN(G235)=0,"",IF(ISNUMBER(SEARCH(",",G235)),LEN(SUBSTITUTE(G235,",","xx"))-LEN(G235)+1,1))</f>
        <v>1</v>
      </c>
      <c r="I235" s="17" t="s">
        <v>860</v>
      </c>
      <c r="J235" s="19">
        <f t="shared" ref="J235:J266" si="24">IF(LEN(I235)=0,"",IF(ISNUMBER(SEARCH(",",I235)),LEN(SUBSTITUTE(I235,",","xx"))-LEN(I235)+1,1))</f>
        <v>1</v>
      </c>
      <c r="K235" s="18" t="s">
        <v>64</v>
      </c>
      <c r="L235" s="18" t="s">
        <v>28</v>
      </c>
      <c r="M235" s="20"/>
      <c r="N235" s="20"/>
      <c r="O235" s="21" t="s">
        <v>167</v>
      </c>
      <c r="P235" s="18" t="s">
        <v>861</v>
      </c>
      <c r="Q235" s="18" t="s">
        <v>159</v>
      </c>
      <c r="R235" s="18" t="s">
        <v>160</v>
      </c>
      <c r="S235" s="18" t="s">
        <v>169</v>
      </c>
    </row>
    <row r="236" spans="1:19" ht="60" customHeight="1">
      <c r="A236" s="17" t="s">
        <v>862</v>
      </c>
      <c r="B236" s="17" t="s">
        <v>852</v>
      </c>
      <c r="C236" s="17" t="s">
        <v>863</v>
      </c>
      <c r="D236" s="17" t="s">
        <v>854</v>
      </c>
      <c r="E236" s="18" t="s">
        <v>23</v>
      </c>
      <c r="F236" s="17" t="s">
        <v>132</v>
      </c>
      <c r="G236" s="17" t="s">
        <v>864</v>
      </c>
      <c r="H236" s="19">
        <f t="shared" si="23"/>
        <v>7</v>
      </c>
      <c r="I236" s="17" t="s">
        <v>865</v>
      </c>
      <c r="J236" s="19">
        <f t="shared" si="24"/>
        <v>10</v>
      </c>
      <c r="K236" s="18" t="s">
        <v>64</v>
      </c>
      <c r="L236" s="18" t="s">
        <v>28</v>
      </c>
      <c r="M236" s="27">
        <v>-0.7559289460184544</v>
      </c>
      <c r="N236" s="27">
        <v>3.3894853524689274E-2</v>
      </c>
      <c r="O236" s="28" t="str">
        <f>IF(AND(N236&lt;0.05,OR(AND(L236="升高改善",M236&gt;0),AND(L236="降低改善",M236&lt;0))),"校正","不校正")</f>
        <v>不校正</v>
      </c>
      <c r="P236" s="18" t="s">
        <v>866</v>
      </c>
      <c r="Q236" s="18" t="s">
        <v>159</v>
      </c>
      <c r="R236" s="18" t="s">
        <v>160</v>
      </c>
      <c r="S236" s="18"/>
    </row>
    <row r="237" spans="1:19" ht="60" customHeight="1">
      <c r="A237" s="17" t="s">
        <v>867</v>
      </c>
      <c r="B237" s="17" t="s">
        <v>852</v>
      </c>
      <c r="C237" s="17" t="s">
        <v>863</v>
      </c>
      <c r="D237" s="17" t="s">
        <v>854</v>
      </c>
      <c r="E237" s="18" t="s">
        <v>81</v>
      </c>
      <c r="F237" s="17" t="s">
        <v>82</v>
      </c>
      <c r="G237" s="17" t="s">
        <v>864</v>
      </c>
      <c r="H237" s="19">
        <f t="shared" si="23"/>
        <v>7</v>
      </c>
      <c r="I237" s="17" t="s">
        <v>868</v>
      </c>
      <c r="J237" s="19">
        <f t="shared" si="24"/>
        <v>3</v>
      </c>
      <c r="K237" s="18" t="s">
        <v>64</v>
      </c>
      <c r="L237" s="18" t="s">
        <v>28</v>
      </c>
      <c r="M237" s="27">
        <v>-0.7559289460184544</v>
      </c>
      <c r="N237" s="27">
        <v>3.3894853524689274E-2</v>
      </c>
      <c r="O237" s="28" t="str">
        <f>IF(AND(N237&lt;0.05,OR(AND(L237="升高改善",M237&gt;0),AND(L237="降低改善",M237&lt;0))),"校正","不校正")</f>
        <v>不校正</v>
      </c>
      <c r="P237" s="18" t="s">
        <v>866</v>
      </c>
      <c r="Q237" s="18" t="s">
        <v>159</v>
      </c>
      <c r="R237" s="18" t="s">
        <v>160</v>
      </c>
      <c r="S237" s="18"/>
    </row>
    <row r="238" spans="1:19" ht="72" customHeight="1">
      <c r="A238" s="17" t="s">
        <v>869</v>
      </c>
      <c r="B238" s="17" t="s">
        <v>852</v>
      </c>
      <c r="C238" s="17" t="s">
        <v>863</v>
      </c>
      <c r="D238" s="17" t="s">
        <v>854</v>
      </c>
      <c r="E238" s="18" t="s">
        <v>34</v>
      </c>
      <c r="F238" s="17" t="s">
        <v>859</v>
      </c>
      <c r="G238" s="17" t="s">
        <v>196</v>
      </c>
      <c r="H238" s="19">
        <f t="shared" si="23"/>
        <v>1</v>
      </c>
      <c r="I238" s="17" t="s">
        <v>860</v>
      </c>
      <c r="J238" s="19">
        <f t="shared" si="24"/>
        <v>1</v>
      </c>
      <c r="K238" s="18" t="s">
        <v>64</v>
      </c>
      <c r="L238" s="18" t="s">
        <v>28</v>
      </c>
      <c r="M238" s="20"/>
      <c r="N238" s="20"/>
      <c r="O238" s="21" t="s">
        <v>167</v>
      </c>
      <c r="P238" s="18" t="s">
        <v>870</v>
      </c>
      <c r="Q238" s="18" t="s">
        <v>159</v>
      </c>
      <c r="R238" s="18" t="s">
        <v>160</v>
      </c>
      <c r="S238" s="18" t="s">
        <v>169</v>
      </c>
    </row>
    <row r="239" spans="1:19" ht="60" customHeight="1">
      <c r="A239" s="17" t="s">
        <v>871</v>
      </c>
      <c r="B239" s="17" t="s">
        <v>852</v>
      </c>
      <c r="C239" s="17" t="s">
        <v>872</v>
      </c>
      <c r="D239" s="17" t="s">
        <v>854</v>
      </c>
      <c r="E239" s="18" t="s">
        <v>23</v>
      </c>
      <c r="F239" s="17" t="s">
        <v>132</v>
      </c>
      <c r="G239" s="17" t="s">
        <v>873</v>
      </c>
      <c r="H239" s="19">
        <f t="shared" si="23"/>
        <v>8</v>
      </c>
      <c r="I239" s="17" t="s">
        <v>874</v>
      </c>
      <c r="J239" s="19">
        <f t="shared" si="24"/>
        <v>7</v>
      </c>
      <c r="K239" s="18" t="s">
        <v>64</v>
      </c>
      <c r="L239" s="18" t="s">
        <v>28</v>
      </c>
      <c r="M239" s="27">
        <v>-0.28347335475692043</v>
      </c>
      <c r="N239" s="27">
        <v>0.38647623077123261</v>
      </c>
      <c r="O239" s="28" t="str">
        <f>IF(AND(N239&lt;0.05,OR(AND(L239="升高改善",M239&gt;0),AND(L239="降低改善",M239&lt;0))),"校正","不校正")</f>
        <v>不校正</v>
      </c>
      <c r="P239" s="18" t="s">
        <v>875</v>
      </c>
      <c r="Q239" s="18" t="s">
        <v>159</v>
      </c>
      <c r="R239" s="18" t="s">
        <v>160</v>
      </c>
      <c r="S239" s="18"/>
    </row>
    <row r="240" spans="1:19" ht="60" customHeight="1">
      <c r="A240" s="17" t="s">
        <v>876</v>
      </c>
      <c r="B240" s="17" t="s">
        <v>852</v>
      </c>
      <c r="C240" s="17" t="s">
        <v>872</v>
      </c>
      <c r="D240" s="17" t="s">
        <v>854</v>
      </c>
      <c r="E240" s="18" t="s">
        <v>81</v>
      </c>
      <c r="F240" s="17" t="s">
        <v>82</v>
      </c>
      <c r="G240" s="17" t="s">
        <v>873</v>
      </c>
      <c r="H240" s="19">
        <f t="shared" si="23"/>
        <v>8</v>
      </c>
      <c r="I240" s="17" t="s">
        <v>868</v>
      </c>
      <c r="J240" s="19">
        <f t="shared" si="24"/>
        <v>3</v>
      </c>
      <c r="K240" s="18" t="s">
        <v>64</v>
      </c>
      <c r="L240" s="18" t="s">
        <v>28</v>
      </c>
      <c r="M240" s="27">
        <v>-0.28347335475692043</v>
      </c>
      <c r="N240" s="27">
        <v>0.38647623077123261</v>
      </c>
      <c r="O240" s="28" t="str">
        <f>IF(AND(N240&lt;0.05,OR(AND(L240="升高改善",M240&gt;0),AND(L240="降低改善",M240&lt;0))),"校正","不校正")</f>
        <v>不校正</v>
      </c>
      <c r="P240" s="18" t="s">
        <v>875</v>
      </c>
      <c r="Q240" s="18" t="s">
        <v>159</v>
      </c>
      <c r="R240" s="18" t="s">
        <v>160</v>
      </c>
      <c r="S240" s="18"/>
    </row>
    <row r="241" spans="1:19" ht="60" customHeight="1">
      <c r="A241" s="17" t="s">
        <v>877</v>
      </c>
      <c r="B241" s="17" t="s">
        <v>852</v>
      </c>
      <c r="C241" s="17" t="s">
        <v>872</v>
      </c>
      <c r="D241" s="17" t="s">
        <v>854</v>
      </c>
      <c r="E241" s="18" t="s">
        <v>34</v>
      </c>
      <c r="F241" s="17" t="s">
        <v>859</v>
      </c>
      <c r="G241" s="17" t="s">
        <v>196</v>
      </c>
      <c r="H241" s="19">
        <f t="shared" si="23"/>
        <v>1</v>
      </c>
      <c r="I241" s="17" t="s">
        <v>860</v>
      </c>
      <c r="J241" s="19">
        <f t="shared" si="24"/>
        <v>1</v>
      </c>
      <c r="K241" s="18" t="s">
        <v>64</v>
      </c>
      <c r="L241" s="18" t="s">
        <v>28</v>
      </c>
      <c r="M241" s="20"/>
      <c r="N241" s="20"/>
      <c r="O241" s="21" t="s">
        <v>167</v>
      </c>
      <c r="P241" s="18" t="s">
        <v>878</v>
      </c>
      <c r="Q241" s="18" t="s">
        <v>159</v>
      </c>
      <c r="R241" s="18" t="s">
        <v>160</v>
      </c>
      <c r="S241" s="18" t="s">
        <v>169</v>
      </c>
    </row>
    <row r="242" spans="1:19" ht="60" customHeight="1">
      <c r="A242" s="17" t="s">
        <v>879</v>
      </c>
      <c r="B242" s="17" t="s">
        <v>852</v>
      </c>
      <c r="C242" s="17" t="s">
        <v>853</v>
      </c>
      <c r="D242" s="17" t="s">
        <v>880</v>
      </c>
      <c r="E242" s="18" t="s">
        <v>881</v>
      </c>
      <c r="F242" s="17" t="s">
        <v>882</v>
      </c>
      <c r="G242" s="17" t="s">
        <v>883</v>
      </c>
      <c r="H242" s="19">
        <f t="shared" si="23"/>
        <v>1</v>
      </c>
      <c r="I242" s="17" t="s">
        <v>860</v>
      </c>
      <c r="J242" s="19">
        <f t="shared" si="24"/>
        <v>1</v>
      </c>
      <c r="K242" s="18" t="s">
        <v>64</v>
      </c>
      <c r="L242" s="18" t="s">
        <v>28</v>
      </c>
      <c r="M242" s="20"/>
      <c r="N242" s="20"/>
      <c r="O242" s="21" t="s">
        <v>167</v>
      </c>
      <c r="P242" s="18" t="s">
        <v>884</v>
      </c>
      <c r="Q242" s="18" t="s">
        <v>159</v>
      </c>
      <c r="R242" s="18" t="s">
        <v>160</v>
      </c>
      <c r="S242" s="18" t="s">
        <v>169</v>
      </c>
    </row>
    <row r="243" spans="1:19" ht="60" customHeight="1">
      <c r="A243" s="17" t="s">
        <v>885</v>
      </c>
      <c r="B243" s="17" t="s">
        <v>852</v>
      </c>
      <c r="C243" s="17" t="s">
        <v>853</v>
      </c>
      <c r="D243" s="17" t="s">
        <v>886</v>
      </c>
      <c r="E243" s="18" t="s">
        <v>881</v>
      </c>
      <c r="F243" s="17" t="s">
        <v>882</v>
      </c>
      <c r="G243" s="17" t="s">
        <v>196</v>
      </c>
      <c r="H243" s="19">
        <f t="shared" si="23"/>
        <v>1</v>
      </c>
      <c r="I243" s="17" t="s">
        <v>860</v>
      </c>
      <c r="J243" s="19">
        <f t="shared" si="24"/>
        <v>1</v>
      </c>
      <c r="K243" s="18" t="s">
        <v>64</v>
      </c>
      <c r="L243" s="18" t="s">
        <v>28</v>
      </c>
      <c r="M243" s="20"/>
      <c r="N243" s="20"/>
      <c r="O243" s="21" t="s">
        <v>167</v>
      </c>
      <c r="P243" s="18" t="s">
        <v>887</v>
      </c>
      <c r="Q243" s="18" t="s">
        <v>159</v>
      </c>
      <c r="R243" s="18" t="s">
        <v>160</v>
      </c>
      <c r="S243" s="18" t="s">
        <v>169</v>
      </c>
    </row>
    <row r="244" spans="1:19" ht="60" customHeight="1">
      <c r="A244" s="17" t="s">
        <v>888</v>
      </c>
      <c r="B244" s="17" t="s">
        <v>852</v>
      </c>
      <c r="C244" s="17" t="s">
        <v>853</v>
      </c>
      <c r="D244" s="17" t="s">
        <v>889</v>
      </c>
      <c r="E244" s="18" t="s">
        <v>881</v>
      </c>
      <c r="F244" s="17" t="s">
        <v>882</v>
      </c>
      <c r="G244" s="17" t="s">
        <v>890</v>
      </c>
      <c r="H244" s="19">
        <f t="shared" si="23"/>
        <v>1</v>
      </c>
      <c r="I244" s="17" t="s">
        <v>860</v>
      </c>
      <c r="J244" s="19">
        <f t="shared" si="24"/>
        <v>1</v>
      </c>
      <c r="K244" s="18" t="s">
        <v>64</v>
      </c>
      <c r="L244" s="18" t="s">
        <v>28</v>
      </c>
      <c r="M244" s="20"/>
      <c r="N244" s="20"/>
      <c r="O244" s="21" t="s">
        <v>167</v>
      </c>
      <c r="P244" s="18" t="s">
        <v>891</v>
      </c>
      <c r="Q244" s="18" t="s">
        <v>159</v>
      </c>
      <c r="R244" s="18" t="s">
        <v>160</v>
      </c>
      <c r="S244" s="18" t="s">
        <v>169</v>
      </c>
    </row>
    <row r="245" spans="1:19" ht="60" customHeight="1">
      <c r="A245" s="17" t="s">
        <v>892</v>
      </c>
      <c r="B245" s="17" t="s">
        <v>852</v>
      </c>
      <c r="C245" s="17" t="s">
        <v>853</v>
      </c>
      <c r="D245" s="17" t="s">
        <v>893</v>
      </c>
      <c r="E245" s="18" t="s">
        <v>881</v>
      </c>
      <c r="F245" s="17" t="s">
        <v>882</v>
      </c>
      <c r="G245" s="17" t="s">
        <v>196</v>
      </c>
      <c r="H245" s="19">
        <f t="shared" si="23"/>
        <v>1</v>
      </c>
      <c r="I245" s="17" t="s">
        <v>894</v>
      </c>
      <c r="J245" s="19">
        <f t="shared" si="24"/>
        <v>1</v>
      </c>
      <c r="K245" s="18" t="s">
        <v>64</v>
      </c>
      <c r="L245" s="18" t="s">
        <v>28</v>
      </c>
      <c r="M245" s="20"/>
      <c r="N245" s="20"/>
      <c r="O245" s="21" t="s">
        <v>167</v>
      </c>
      <c r="P245" s="18" t="s">
        <v>895</v>
      </c>
      <c r="Q245" s="18" t="s">
        <v>159</v>
      </c>
      <c r="R245" s="18" t="s">
        <v>160</v>
      </c>
      <c r="S245" s="18" t="s">
        <v>169</v>
      </c>
    </row>
    <row r="246" spans="1:19" ht="60" customHeight="1">
      <c r="A246" s="17" t="s">
        <v>896</v>
      </c>
      <c r="B246" s="17" t="s">
        <v>852</v>
      </c>
      <c r="C246" s="17" t="s">
        <v>853</v>
      </c>
      <c r="D246" s="17" t="s">
        <v>897</v>
      </c>
      <c r="E246" s="18" t="s">
        <v>881</v>
      </c>
      <c r="F246" s="17" t="s">
        <v>882</v>
      </c>
      <c r="G246" s="17" t="s">
        <v>196</v>
      </c>
      <c r="H246" s="19">
        <f t="shared" si="23"/>
        <v>1</v>
      </c>
      <c r="I246" s="17" t="s">
        <v>894</v>
      </c>
      <c r="J246" s="19">
        <f t="shared" si="24"/>
        <v>1</v>
      </c>
      <c r="K246" s="18" t="s">
        <v>64</v>
      </c>
      <c r="L246" s="18" t="s">
        <v>28</v>
      </c>
      <c r="M246" s="20"/>
      <c r="N246" s="20"/>
      <c r="O246" s="21" t="s">
        <v>167</v>
      </c>
      <c r="P246" s="18" t="s">
        <v>898</v>
      </c>
      <c r="Q246" s="18" t="s">
        <v>159</v>
      </c>
      <c r="R246" s="18" t="s">
        <v>160</v>
      </c>
      <c r="S246" s="18" t="s">
        <v>169</v>
      </c>
    </row>
    <row r="247" spans="1:19" ht="60" customHeight="1">
      <c r="A247" s="17" t="s">
        <v>899</v>
      </c>
      <c r="B247" s="17" t="s">
        <v>852</v>
      </c>
      <c r="C247" s="17" t="s">
        <v>853</v>
      </c>
      <c r="D247" s="17" t="s">
        <v>900</v>
      </c>
      <c r="E247" s="18" t="s">
        <v>881</v>
      </c>
      <c r="F247" s="17" t="s">
        <v>882</v>
      </c>
      <c r="G247" s="17" t="s">
        <v>883</v>
      </c>
      <c r="H247" s="19">
        <f t="shared" si="23"/>
        <v>1</v>
      </c>
      <c r="I247" s="17" t="s">
        <v>860</v>
      </c>
      <c r="J247" s="19">
        <f t="shared" si="24"/>
        <v>1</v>
      </c>
      <c r="K247" s="18" t="s">
        <v>64</v>
      </c>
      <c r="L247" s="18" t="s">
        <v>28</v>
      </c>
      <c r="M247" s="20"/>
      <c r="N247" s="20"/>
      <c r="O247" s="21" t="s">
        <v>167</v>
      </c>
      <c r="P247" s="18" t="s">
        <v>901</v>
      </c>
      <c r="Q247" s="18" t="s">
        <v>159</v>
      </c>
      <c r="R247" s="18" t="s">
        <v>160</v>
      </c>
      <c r="S247" s="18" t="s">
        <v>169</v>
      </c>
    </row>
    <row r="248" spans="1:19" ht="60" customHeight="1">
      <c r="A248" s="17" t="s">
        <v>902</v>
      </c>
      <c r="B248" s="17" t="s">
        <v>852</v>
      </c>
      <c r="C248" s="17" t="s">
        <v>863</v>
      </c>
      <c r="D248" s="17" t="s">
        <v>903</v>
      </c>
      <c r="E248" s="18" t="s">
        <v>881</v>
      </c>
      <c r="F248" s="17" t="s">
        <v>882</v>
      </c>
      <c r="G248" s="17" t="s">
        <v>196</v>
      </c>
      <c r="H248" s="19">
        <f t="shared" si="23"/>
        <v>1</v>
      </c>
      <c r="I248" s="17" t="s">
        <v>894</v>
      </c>
      <c r="J248" s="19">
        <f t="shared" si="24"/>
        <v>1</v>
      </c>
      <c r="K248" s="18" t="s">
        <v>64</v>
      </c>
      <c r="L248" s="18" t="s">
        <v>28</v>
      </c>
      <c r="M248" s="20"/>
      <c r="N248" s="20"/>
      <c r="O248" s="21" t="s">
        <v>167</v>
      </c>
      <c r="P248" s="18" t="s">
        <v>904</v>
      </c>
      <c r="Q248" s="18" t="s">
        <v>159</v>
      </c>
      <c r="R248" s="18" t="s">
        <v>160</v>
      </c>
      <c r="S248" s="18" t="s">
        <v>169</v>
      </c>
    </row>
    <row r="249" spans="1:19" ht="60" customHeight="1">
      <c r="A249" s="17" t="s">
        <v>905</v>
      </c>
      <c r="B249" s="17" t="s">
        <v>852</v>
      </c>
      <c r="C249" s="17" t="s">
        <v>863</v>
      </c>
      <c r="D249" s="17" t="s">
        <v>906</v>
      </c>
      <c r="E249" s="18" t="s">
        <v>881</v>
      </c>
      <c r="F249" s="17" t="s">
        <v>882</v>
      </c>
      <c r="G249" s="17" t="s">
        <v>196</v>
      </c>
      <c r="H249" s="19">
        <f t="shared" si="23"/>
        <v>1</v>
      </c>
      <c r="I249" s="17" t="s">
        <v>894</v>
      </c>
      <c r="J249" s="19">
        <f t="shared" si="24"/>
        <v>1</v>
      </c>
      <c r="K249" s="18" t="s">
        <v>64</v>
      </c>
      <c r="L249" s="18" t="s">
        <v>28</v>
      </c>
      <c r="M249" s="20"/>
      <c r="N249" s="20"/>
      <c r="O249" s="21" t="s">
        <v>167</v>
      </c>
      <c r="P249" s="18" t="s">
        <v>907</v>
      </c>
      <c r="Q249" s="18" t="s">
        <v>159</v>
      </c>
      <c r="R249" s="18" t="s">
        <v>160</v>
      </c>
      <c r="S249" s="18" t="s">
        <v>169</v>
      </c>
    </row>
    <row r="250" spans="1:19" ht="60" customHeight="1">
      <c r="A250" s="17" t="s">
        <v>908</v>
      </c>
      <c r="B250" s="17" t="s">
        <v>852</v>
      </c>
      <c r="C250" s="17" t="s">
        <v>863</v>
      </c>
      <c r="D250" s="17" t="s">
        <v>909</v>
      </c>
      <c r="E250" s="18" t="s">
        <v>881</v>
      </c>
      <c r="F250" s="17" t="s">
        <v>882</v>
      </c>
      <c r="G250" s="17" t="s">
        <v>196</v>
      </c>
      <c r="H250" s="19">
        <f t="shared" si="23"/>
        <v>1</v>
      </c>
      <c r="I250" s="17" t="s">
        <v>603</v>
      </c>
      <c r="J250" s="19">
        <f t="shared" si="24"/>
        <v>1</v>
      </c>
      <c r="K250" s="18" t="s">
        <v>64</v>
      </c>
      <c r="L250" s="18" t="s">
        <v>28</v>
      </c>
      <c r="M250" s="20"/>
      <c r="N250" s="20"/>
      <c r="O250" s="21" t="s">
        <v>167</v>
      </c>
      <c r="P250" s="18" t="s">
        <v>910</v>
      </c>
      <c r="Q250" s="18" t="s">
        <v>159</v>
      </c>
      <c r="R250" s="18" t="s">
        <v>160</v>
      </c>
      <c r="S250" s="18" t="s">
        <v>169</v>
      </c>
    </row>
    <row r="251" spans="1:19" ht="60" customHeight="1">
      <c r="A251" s="17" t="s">
        <v>911</v>
      </c>
      <c r="B251" s="17" t="s">
        <v>852</v>
      </c>
      <c r="C251" s="17" t="s">
        <v>872</v>
      </c>
      <c r="D251" s="17" t="s">
        <v>912</v>
      </c>
      <c r="E251" s="18" t="s">
        <v>881</v>
      </c>
      <c r="F251" s="17" t="s">
        <v>882</v>
      </c>
      <c r="G251" s="17" t="s">
        <v>196</v>
      </c>
      <c r="H251" s="19">
        <f t="shared" si="23"/>
        <v>1</v>
      </c>
      <c r="I251" s="17" t="s">
        <v>883</v>
      </c>
      <c r="J251" s="19">
        <f t="shared" si="24"/>
        <v>1</v>
      </c>
      <c r="K251" s="18" t="s">
        <v>64</v>
      </c>
      <c r="L251" s="18" t="s">
        <v>28</v>
      </c>
      <c r="M251" s="20"/>
      <c r="N251" s="20"/>
      <c r="O251" s="21" t="s">
        <v>167</v>
      </c>
      <c r="P251" s="18" t="s">
        <v>913</v>
      </c>
      <c r="Q251" s="18" t="s">
        <v>159</v>
      </c>
      <c r="R251" s="18" t="s">
        <v>160</v>
      </c>
      <c r="S251" s="18" t="s">
        <v>169</v>
      </c>
    </row>
    <row r="252" spans="1:19" ht="60" customHeight="1">
      <c r="A252" s="17" t="s">
        <v>914</v>
      </c>
      <c r="B252" s="17" t="s">
        <v>852</v>
      </c>
      <c r="C252" s="17" t="s">
        <v>872</v>
      </c>
      <c r="D252" s="17" t="s">
        <v>915</v>
      </c>
      <c r="E252" s="18" t="s">
        <v>881</v>
      </c>
      <c r="F252" s="17" t="s">
        <v>882</v>
      </c>
      <c r="G252" s="17" t="s">
        <v>196</v>
      </c>
      <c r="H252" s="19">
        <f t="shared" si="23"/>
        <v>1</v>
      </c>
      <c r="I252" s="17" t="s">
        <v>603</v>
      </c>
      <c r="J252" s="19">
        <f t="shared" si="24"/>
        <v>1</v>
      </c>
      <c r="K252" s="18" t="s">
        <v>64</v>
      </c>
      <c r="L252" s="18" t="s">
        <v>28</v>
      </c>
      <c r="M252" s="20"/>
      <c r="N252" s="20"/>
      <c r="O252" s="21" t="s">
        <v>167</v>
      </c>
      <c r="P252" s="18" t="s">
        <v>916</v>
      </c>
      <c r="Q252" s="18" t="s">
        <v>159</v>
      </c>
      <c r="R252" s="18" t="s">
        <v>160</v>
      </c>
      <c r="S252" s="18" t="s">
        <v>169</v>
      </c>
    </row>
    <row r="253" spans="1:19" ht="60" customHeight="1">
      <c r="A253" s="17" t="s">
        <v>917</v>
      </c>
      <c r="B253" s="17" t="s">
        <v>852</v>
      </c>
      <c r="C253" s="17" t="s">
        <v>872</v>
      </c>
      <c r="D253" s="17" t="s">
        <v>918</v>
      </c>
      <c r="E253" s="18" t="s">
        <v>881</v>
      </c>
      <c r="F253" s="17" t="s">
        <v>882</v>
      </c>
      <c r="G253" s="17" t="s">
        <v>196</v>
      </c>
      <c r="H253" s="19">
        <f t="shared" si="23"/>
        <v>1</v>
      </c>
      <c r="I253" s="17" t="s">
        <v>894</v>
      </c>
      <c r="J253" s="19">
        <f t="shared" si="24"/>
        <v>1</v>
      </c>
      <c r="K253" s="18" t="s">
        <v>64</v>
      </c>
      <c r="L253" s="18" t="s">
        <v>28</v>
      </c>
      <c r="M253" s="20"/>
      <c r="N253" s="20"/>
      <c r="O253" s="21" t="s">
        <v>167</v>
      </c>
      <c r="P253" s="18" t="s">
        <v>919</v>
      </c>
      <c r="Q253" s="18" t="s">
        <v>159</v>
      </c>
      <c r="R253" s="18" t="s">
        <v>160</v>
      </c>
      <c r="S253" s="18" t="s">
        <v>169</v>
      </c>
    </row>
    <row r="254" spans="1:19" ht="60" customHeight="1">
      <c r="A254" s="17" t="s">
        <v>920</v>
      </c>
      <c r="B254" s="17" t="s">
        <v>852</v>
      </c>
      <c r="C254" s="17" t="s">
        <v>872</v>
      </c>
      <c r="D254" s="17" t="s">
        <v>921</v>
      </c>
      <c r="E254" s="18" t="s">
        <v>881</v>
      </c>
      <c r="F254" s="17" t="s">
        <v>882</v>
      </c>
      <c r="G254" s="17" t="s">
        <v>883</v>
      </c>
      <c r="H254" s="19">
        <f t="shared" si="23"/>
        <v>1</v>
      </c>
      <c r="I254" s="17" t="s">
        <v>860</v>
      </c>
      <c r="J254" s="19">
        <f t="shared" si="24"/>
        <v>1</v>
      </c>
      <c r="K254" s="18" t="s">
        <v>64</v>
      </c>
      <c r="L254" s="18" t="s">
        <v>28</v>
      </c>
      <c r="M254" s="20"/>
      <c r="N254" s="20"/>
      <c r="O254" s="21" t="s">
        <v>167</v>
      </c>
      <c r="P254" s="18" t="s">
        <v>922</v>
      </c>
      <c r="Q254" s="18" t="s">
        <v>159</v>
      </c>
      <c r="R254" s="18" t="s">
        <v>160</v>
      </c>
      <c r="S254" s="18" t="s">
        <v>169</v>
      </c>
    </row>
    <row r="255" spans="1:19" ht="60" customHeight="1">
      <c r="A255" s="17" t="s">
        <v>923</v>
      </c>
      <c r="B255" s="17" t="s">
        <v>852</v>
      </c>
      <c r="C255" s="17" t="s">
        <v>872</v>
      </c>
      <c r="D255" s="17" t="s">
        <v>924</v>
      </c>
      <c r="E255" s="18" t="s">
        <v>881</v>
      </c>
      <c r="F255" s="17" t="s">
        <v>882</v>
      </c>
      <c r="G255" s="17" t="s">
        <v>196</v>
      </c>
      <c r="H255" s="19">
        <f t="shared" si="23"/>
        <v>1</v>
      </c>
      <c r="I255" s="17" t="s">
        <v>860</v>
      </c>
      <c r="J255" s="19">
        <f t="shared" si="24"/>
        <v>1</v>
      </c>
      <c r="K255" s="18" t="s">
        <v>64</v>
      </c>
      <c r="L255" s="18" t="s">
        <v>28</v>
      </c>
      <c r="M255" s="20"/>
      <c r="N255" s="20"/>
      <c r="O255" s="21" t="s">
        <v>167</v>
      </c>
      <c r="P255" s="18" t="s">
        <v>925</v>
      </c>
      <c r="Q255" s="18" t="s">
        <v>159</v>
      </c>
      <c r="R255" s="18" t="s">
        <v>160</v>
      </c>
      <c r="S255" s="18" t="s">
        <v>169</v>
      </c>
    </row>
    <row r="256" spans="1:19" ht="60" customHeight="1">
      <c r="A256" s="17" t="s">
        <v>926</v>
      </c>
      <c r="B256" s="17" t="s">
        <v>852</v>
      </c>
      <c r="C256" s="17" t="s">
        <v>872</v>
      </c>
      <c r="D256" s="17" t="s">
        <v>927</v>
      </c>
      <c r="E256" s="18" t="s">
        <v>881</v>
      </c>
      <c r="F256" s="17" t="s">
        <v>882</v>
      </c>
      <c r="G256" s="17" t="s">
        <v>883</v>
      </c>
      <c r="H256" s="19">
        <f t="shared" si="23"/>
        <v>1</v>
      </c>
      <c r="I256" s="17" t="s">
        <v>860</v>
      </c>
      <c r="J256" s="19">
        <f t="shared" si="24"/>
        <v>1</v>
      </c>
      <c r="K256" s="18" t="s">
        <v>64</v>
      </c>
      <c r="L256" s="18" t="s">
        <v>28</v>
      </c>
      <c r="M256" s="20"/>
      <c r="N256" s="20"/>
      <c r="O256" s="21" t="s">
        <v>167</v>
      </c>
      <c r="P256" s="18" t="s">
        <v>928</v>
      </c>
      <c r="Q256" s="18" t="s">
        <v>159</v>
      </c>
      <c r="R256" s="18" t="s">
        <v>160</v>
      </c>
      <c r="S256" s="18" t="s">
        <v>169</v>
      </c>
    </row>
    <row r="257" spans="1:19" ht="36" customHeight="1">
      <c r="A257" s="2" t="s">
        <v>929</v>
      </c>
      <c r="B257" s="2" t="s">
        <v>930</v>
      </c>
      <c r="C257" s="2" t="s">
        <v>931</v>
      </c>
      <c r="D257" s="2" t="s">
        <v>932</v>
      </c>
      <c r="E257" s="3" t="s">
        <v>23</v>
      </c>
      <c r="F257" s="2" t="s">
        <v>132</v>
      </c>
      <c r="G257" s="2" t="s">
        <v>933</v>
      </c>
      <c r="H257" s="4">
        <f t="shared" si="23"/>
        <v>5</v>
      </c>
      <c r="I257" s="2" t="s">
        <v>934</v>
      </c>
      <c r="J257" s="4">
        <f t="shared" si="24"/>
        <v>16</v>
      </c>
      <c r="K257" s="3" t="s">
        <v>157</v>
      </c>
      <c r="L257" s="3" t="s">
        <v>28</v>
      </c>
      <c r="M257" s="5">
        <v>0.11952286093343936</v>
      </c>
      <c r="N257" s="5">
        <v>0.7815112949987133</v>
      </c>
      <c r="O257" s="6" t="str">
        <f t="shared" ref="O257:O274" si="25">IF(AND(N257&lt;0.05,OR(AND(L257="升高改善",M257&gt;0),AND(L257="降低改善",M257&lt;0))),"校正","不校正")</f>
        <v>不校正</v>
      </c>
      <c r="P257" s="3" t="s">
        <v>935</v>
      </c>
      <c r="Q257" s="3" t="s">
        <v>159</v>
      </c>
      <c r="R257" s="3" t="s">
        <v>160</v>
      </c>
      <c r="S257" s="3"/>
    </row>
    <row r="258" spans="1:19" ht="36" customHeight="1">
      <c r="A258" s="7" t="s">
        <v>936</v>
      </c>
      <c r="B258" s="7" t="s">
        <v>930</v>
      </c>
      <c r="C258" s="7" t="s">
        <v>931</v>
      </c>
      <c r="D258" s="7" t="s">
        <v>937</v>
      </c>
      <c r="E258" s="8" t="s">
        <v>23</v>
      </c>
      <c r="F258" s="7" t="s">
        <v>132</v>
      </c>
      <c r="G258" s="7" t="s">
        <v>938</v>
      </c>
      <c r="H258" s="9">
        <f t="shared" si="23"/>
        <v>5</v>
      </c>
      <c r="I258" s="7" t="s">
        <v>939</v>
      </c>
      <c r="J258" s="9">
        <f t="shared" si="24"/>
        <v>16</v>
      </c>
      <c r="K258" s="8" t="s">
        <v>157</v>
      </c>
      <c r="L258" s="8" t="s">
        <v>101</v>
      </c>
      <c r="M258" s="10">
        <v>-0.11952286093343936</v>
      </c>
      <c r="N258" s="10">
        <v>0.7815112949987133</v>
      </c>
      <c r="O258" s="11" t="str">
        <f t="shared" si="25"/>
        <v>不校正</v>
      </c>
      <c r="P258" s="8" t="s">
        <v>940</v>
      </c>
      <c r="Q258" s="8" t="s">
        <v>159</v>
      </c>
      <c r="R258" s="8" t="s">
        <v>160</v>
      </c>
      <c r="S258" s="8"/>
    </row>
    <row r="259" spans="1:19" ht="36" customHeight="1">
      <c r="A259" s="7" t="s">
        <v>941</v>
      </c>
      <c r="B259" s="7" t="s">
        <v>930</v>
      </c>
      <c r="C259" s="7" t="s">
        <v>942</v>
      </c>
      <c r="D259" s="7" t="s">
        <v>932</v>
      </c>
      <c r="E259" s="8" t="s">
        <v>23</v>
      </c>
      <c r="F259" s="7" t="s">
        <v>132</v>
      </c>
      <c r="G259" s="7" t="s">
        <v>943</v>
      </c>
      <c r="H259" s="9">
        <f t="shared" si="23"/>
        <v>8</v>
      </c>
      <c r="I259" s="7" t="s">
        <v>944</v>
      </c>
      <c r="J259" s="9">
        <f t="shared" si="24"/>
        <v>13</v>
      </c>
      <c r="K259" s="8" t="s">
        <v>157</v>
      </c>
      <c r="L259" s="8" t="s">
        <v>28</v>
      </c>
      <c r="M259" s="10">
        <v>-0.59160797830996159</v>
      </c>
      <c r="N259" s="10">
        <v>5.8290580139488776E-2</v>
      </c>
      <c r="O259" s="11" t="str">
        <f t="shared" si="25"/>
        <v>不校正</v>
      </c>
      <c r="P259" s="8" t="s">
        <v>945</v>
      </c>
      <c r="Q259" s="8" t="s">
        <v>159</v>
      </c>
      <c r="R259" s="8" t="s">
        <v>160</v>
      </c>
      <c r="S259" s="8"/>
    </row>
    <row r="260" spans="1:19" ht="36" customHeight="1">
      <c r="A260" s="7" t="s">
        <v>946</v>
      </c>
      <c r="B260" s="7" t="s">
        <v>930</v>
      </c>
      <c r="C260" s="7" t="s">
        <v>942</v>
      </c>
      <c r="D260" s="7" t="s">
        <v>937</v>
      </c>
      <c r="E260" s="8" t="s">
        <v>23</v>
      </c>
      <c r="F260" s="7" t="s">
        <v>132</v>
      </c>
      <c r="G260" s="7" t="s">
        <v>947</v>
      </c>
      <c r="H260" s="9">
        <f t="shared" si="23"/>
        <v>8</v>
      </c>
      <c r="I260" s="7" t="s">
        <v>948</v>
      </c>
      <c r="J260" s="9">
        <f t="shared" si="24"/>
        <v>13</v>
      </c>
      <c r="K260" s="8" t="s">
        <v>157</v>
      </c>
      <c r="L260" s="8" t="s">
        <v>101</v>
      </c>
      <c r="M260" s="10">
        <v>0.40291148201269011</v>
      </c>
      <c r="N260" s="10">
        <v>0.18403862719642536</v>
      </c>
      <c r="O260" s="11" t="str">
        <f t="shared" si="25"/>
        <v>不校正</v>
      </c>
      <c r="P260" s="8" t="s">
        <v>949</v>
      </c>
      <c r="Q260" s="8" t="s">
        <v>159</v>
      </c>
      <c r="R260" s="8" t="s">
        <v>160</v>
      </c>
      <c r="S260" s="8"/>
    </row>
    <row r="261" spans="1:19" ht="36" customHeight="1">
      <c r="A261" s="7" t="s">
        <v>950</v>
      </c>
      <c r="B261" s="7" t="s">
        <v>930</v>
      </c>
      <c r="C261" s="7" t="s">
        <v>951</v>
      </c>
      <c r="D261" s="7" t="s">
        <v>932</v>
      </c>
      <c r="E261" s="8" t="s">
        <v>23</v>
      </c>
      <c r="F261" s="7" t="s">
        <v>132</v>
      </c>
      <c r="G261" s="7" t="s">
        <v>952</v>
      </c>
      <c r="H261" s="9">
        <f t="shared" si="23"/>
        <v>10</v>
      </c>
      <c r="I261" s="7" t="s">
        <v>953</v>
      </c>
      <c r="J261" s="9">
        <f t="shared" si="24"/>
        <v>14</v>
      </c>
      <c r="K261" s="8" t="s">
        <v>157</v>
      </c>
      <c r="L261" s="8" t="s">
        <v>28</v>
      </c>
      <c r="M261" s="10">
        <v>7.3521462209380772E-2</v>
      </c>
      <c r="N261" s="10">
        <v>0.77904340525223459</v>
      </c>
      <c r="O261" s="11" t="str">
        <f t="shared" si="25"/>
        <v>不校正</v>
      </c>
      <c r="P261" s="8" t="s">
        <v>954</v>
      </c>
      <c r="Q261" s="8" t="s">
        <v>159</v>
      </c>
      <c r="R261" s="8" t="s">
        <v>160</v>
      </c>
      <c r="S261" s="8"/>
    </row>
    <row r="262" spans="1:19" ht="36" customHeight="1">
      <c r="A262" s="7" t="s">
        <v>955</v>
      </c>
      <c r="B262" s="7" t="s">
        <v>930</v>
      </c>
      <c r="C262" s="7" t="s">
        <v>951</v>
      </c>
      <c r="D262" s="7" t="s">
        <v>937</v>
      </c>
      <c r="E262" s="8" t="s">
        <v>23</v>
      </c>
      <c r="F262" s="7" t="s">
        <v>132</v>
      </c>
      <c r="G262" s="7" t="s">
        <v>956</v>
      </c>
      <c r="H262" s="9">
        <f t="shared" si="23"/>
        <v>10</v>
      </c>
      <c r="I262" s="7" t="s">
        <v>957</v>
      </c>
      <c r="J262" s="9">
        <f t="shared" si="24"/>
        <v>14</v>
      </c>
      <c r="K262" s="8" t="s">
        <v>157</v>
      </c>
      <c r="L262" s="8" t="s">
        <v>101</v>
      </c>
      <c r="M262" s="10">
        <v>5.1130999256491366E-2</v>
      </c>
      <c r="N262" s="10">
        <v>0.84692228837730088</v>
      </c>
      <c r="O262" s="11" t="str">
        <f t="shared" si="25"/>
        <v>不校正</v>
      </c>
      <c r="P262" s="8" t="s">
        <v>958</v>
      </c>
      <c r="Q262" s="8" t="s">
        <v>159</v>
      </c>
      <c r="R262" s="8" t="s">
        <v>160</v>
      </c>
      <c r="S262" s="8"/>
    </row>
    <row r="263" spans="1:19" ht="36" customHeight="1">
      <c r="A263" s="7" t="s">
        <v>959</v>
      </c>
      <c r="B263" s="7" t="s">
        <v>930</v>
      </c>
      <c r="C263" s="7" t="s">
        <v>931</v>
      </c>
      <c r="D263" s="7" t="s">
        <v>960</v>
      </c>
      <c r="E263" s="8" t="s">
        <v>34</v>
      </c>
      <c r="F263" s="7" t="s">
        <v>132</v>
      </c>
      <c r="G263" s="7" t="s">
        <v>961</v>
      </c>
      <c r="H263" s="9">
        <f t="shared" si="23"/>
        <v>5</v>
      </c>
      <c r="I263" s="7" t="s">
        <v>962</v>
      </c>
      <c r="J263" s="9">
        <f t="shared" si="24"/>
        <v>16</v>
      </c>
      <c r="K263" s="8" t="s">
        <v>157</v>
      </c>
      <c r="L263" s="8" t="s">
        <v>28</v>
      </c>
      <c r="M263" s="10">
        <v>-0.22360679774997896</v>
      </c>
      <c r="N263" s="10">
        <v>0.60150813444058993</v>
      </c>
      <c r="O263" s="11" t="str">
        <f t="shared" si="25"/>
        <v>不校正</v>
      </c>
      <c r="P263" s="8" t="s">
        <v>963</v>
      </c>
      <c r="Q263" s="8" t="s">
        <v>159</v>
      </c>
      <c r="R263" s="8" t="s">
        <v>160</v>
      </c>
      <c r="S263" s="8"/>
    </row>
    <row r="264" spans="1:19" ht="36" customHeight="1">
      <c r="A264" s="7" t="s">
        <v>964</v>
      </c>
      <c r="B264" s="7" t="s">
        <v>930</v>
      </c>
      <c r="C264" s="7" t="s">
        <v>931</v>
      </c>
      <c r="D264" s="7" t="s">
        <v>965</v>
      </c>
      <c r="E264" s="8" t="s">
        <v>34</v>
      </c>
      <c r="F264" s="7" t="s">
        <v>132</v>
      </c>
      <c r="G264" s="7" t="s">
        <v>966</v>
      </c>
      <c r="H264" s="9">
        <f t="shared" si="23"/>
        <v>5</v>
      </c>
      <c r="I264" s="7" t="s">
        <v>967</v>
      </c>
      <c r="J264" s="9">
        <f t="shared" si="24"/>
        <v>16</v>
      </c>
      <c r="K264" s="8" t="s">
        <v>157</v>
      </c>
      <c r="L264" s="8" t="s">
        <v>101</v>
      </c>
      <c r="M264" s="10">
        <v>0.73786478737262184</v>
      </c>
      <c r="N264" s="10">
        <v>7.697417298126677E-2</v>
      </c>
      <c r="O264" s="11" t="str">
        <f t="shared" si="25"/>
        <v>不校正</v>
      </c>
      <c r="P264" s="8" t="s">
        <v>968</v>
      </c>
      <c r="Q264" s="8" t="s">
        <v>159</v>
      </c>
      <c r="R264" s="8" t="s">
        <v>160</v>
      </c>
      <c r="S264" s="8"/>
    </row>
    <row r="265" spans="1:19" ht="36" customHeight="1">
      <c r="A265" s="7" t="s">
        <v>969</v>
      </c>
      <c r="B265" s="7" t="s">
        <v>930</v>
      </c>
      <c r="C265" s="7" t="s">
        <v>942</v>
      </c>
      <c r="D265" s="7" t="s">
        <v>960</v>
      </c>
      <c r="E265" s="8" t="s">
        <v>34</v>
      </c>
      <c r="F265" s="7" t="s">
        <v>132</v>
      </c>
      <c r="G265" s="7" t="s">
        <v>970</v>
      </c>
      <c r="H265" s="9">
        <f t="shared" si="23"/>
        <v>8</v>
      </c>
      <c r="I265" s="7" t="s">
        <v>971</v>
      </c>
      <c r="J265" s="9">
        <f t="shared" si="24"/>
        <v>13</v>
      </c>
      <c r="K265" s="8" t="s">
        <v>157</v>
      </c>
      <c r="L265" s="8" t="s">
        <v>28</v>
      </c>
      <c r="M265" s="10">
        <v>-0.19702760155977517</v>
      </c>
      <c r="N265" s="10">
        <v>0.51743923933639402</v>
      </c>
      <c r="O265" s="11" t="str">
        <f t="shared" si="25"/>
        <v>不校正</v>
      </c>
      <c r="P265" s="8" t="s">
        <v>972</v>
      </c>
      <c r="Q265" s="8" t="s">
        <v>159</v>
      </c>
      <c r="R265" s="8" t="s">
        <v>160</v>
      </c>
      <c r="S265" s="8"/>
    </row>
    <row r="266" spans="1:19" ht="36" customHeight="1">
      <c r="A266" s="7" t="s">
        <v>973</v>
      </c>
      <c r="B266" s="7" t="s">
        <v>930</v>
      </c>
      <c r="C266" s="7" t="s">
        <v>942</v>
      </c>
      <c r="D266" s="7" t="s">
        <v>965</v>
      </c>
      <c r="E266" s="8" t="s">
        <v>34</v>
      </c>
      <c r="F266" s="7" t="s">
        <v>132</v>
      </c>
      <c r="G266" s="7" t="s">
        <v>974</v>
      </c>
      <c r="H266" s="9">
        <f t="shared" si="23"/>
        <v>8</v>
      </c>
      <c r="I266" s="7" t="s">
        <v>975</v>
      </c>
      <c r="J266" s="9">
        <f t="shared" si="24"/>
        <v>13</v>
      </c>
      <c r="K266" s="8" t="s">
        <v>157</v>
      </c>
      <c r="L266" s="8" t="s">
        <v>101</v>
      </c>
      <c r="M266" s="10">
        <v>0.25354627641855498</v>
      </c>
      <c r="N266" s="10">
        <v>0.41707705952056467</v>
      </c>
      <c r="O266" s="11" t="str">
        <f t="shared" si="25"/>
        <v>不校正</v>
      </c>
      <c r="P266" s="8" t="s">
        <v>976</v>
      </c>
      <c r="Q266" s="8" t="s">
        <v>159</v>
      </c>
      <c r="R266" s="8" t="s">
        <v>160</v>
      </c>
      <c r="S266" s="8"/>
    </row>
    <row r="267" spans="1:19" ht="36" customHeight="1">
      <c r="A267" s="7" t="s">
        <v>977</v>
      </c>
      <c r="B267" s="7" t="s">
        <v>930</v>
      </c>
      <c r="C267" s="7" t="s">
        <v>951</v>
      </c>
      <c r="D267" s="7" t="s">
        <v>960</v>
      </c>
      <c r="E267" s="8" t="s">
        <v>34</v>
      </c>
      <c r="F267" s="7" t="s">
        <v>132</v>
      </c>
      <c r="G267" s="7" t="s">
        <v>978</v>
      </c>
      <c r="H267" s="9">
        <f t="shared" ref="H267:H298" si="26">IF(LEN(G267)=0,"",IF(ISNUMBER(SEARCH(",",G267)),LEN(SUBSTITUTE(G267,",","xx"))-LEN(G267)+1,1))</f>
        <v>10</v>
      </c>
      <c r="I267" s="7" t="s">
        <v>979</v>
      </c>
      <c r="J267" s="9">
        <f t="shared" ref="J267:J298" si="27">IF(LEN(I267)=0,"",IF(ISNUMBER(SEARCH(",",I267)),LEN(SUBSTITUTE(I267,",","xx"))-LEN(I267)+1,1))</f>
        <v>14</v>
      </c>
      <c r="K267" s="8" t="s">
        <v>157</v>
      </c>
      <c r="L267" s="8" t="s">
        <v>28</v>
      </c>
      <c r="M267" s="10">
        <v>-3.2530002431617772E-2</v>
      </c>
      <c r="N267" s="10">
        <v>0.90926904521422158</v>
      </c>
      <c r="O267" s="11" t="str">
        <f t="shared" si="25"/>
        <v>不校正</v>
      </c>
      <c r="P267" s="8" t="s">
        <v>980</v>
      </c>
      <c r="Q267" s="8" t="s">
        <v>159</v>
      </c>
      <c r="R267" s="8" t="s">
        <v>160</v>
      </c>
      <c r="S267" s="8"/>
    </row>
    <row r="268" spans="1:19" ht="36" customHeight="1">
      <c r="A268" s="7" t="s">
        <v>981</v>
      </c>
      <c r="B268" s="7" t="s">
        <v>930</v>
      </c>
      <c r="C268" s="7" t="s">
        <v>951</v>
      </c>
      <c r="D268" s="7" t="s">
        <v>965</v>
      </c>
      <c r="E268" s="8" t="s">
        <v>34</v>
      </c>
      <c r="F268" s="7" t="s">
        <v>132</v>
      </c>
      <c r="G268" s="7" t="s">
        <v>982</v>
      </c>
      <c r="H268" s="9">
        <f t="shared" si="26"/>
        <v>10</v>
      </c>
      <c r="I268" s="7" t="s">
        <v>983</v>
      </c>
      <c r="J268" s="9">
        <f t="shared" si="27"/>
        <v>14</v>
      </c>
      <c r="K268" s="8" t="s">
        <v>157</v>
      </c>
      <c r="L268" s="8" t="s">
        <v>101</v>
      </c>
      <c r="M268" s="10">
        <v>-7.7849894416152296E-2</v>
      </c>
      <c r="N268" s="10">
        <v>0.77248828278459614</v>
      </c>
      <c r="O268" s="11" t="str">
        <f t="shared" si="25"/>
        <v>不校正</v>
      </c>
      <c r="P268" s="8" t="s">
        <v>984</v>
      </c>
      <c r="Q268" s="8" t="s">
        <v>159</v>
      </c>
      <c r="R268" s="8" t="s">
        <v>160</v>
      </c>
      <c r="S268" s="8"/>
    </row>
    <row r="269" spans="1:19" ht="27" customHeight="1">
      <c r="A269" s="12" t="s">
        <v>985</v>
      </c>
      <c r="B269" s="12" t="s">
        <v>986</v>
      </c>
      <c r="C269" s="12" t="s">
        <v>987</v>
      </c>
      <c r="D269" s="12" t="s">
        <v>988</v>
      </c>
      <c r="E269" s="13" t="s">
        <v>23</v>
      </c>
      <c r="F269" s="12" t="s">
        <v>989</v>
      </c>
      <c r="G269" s="12" t="s">
        <v>990</v>
      </c>
      <c r="H269" s="14">
        <f t="shared" si="26"/>
        <v>4</v>
      </c>
      <c r="I269" s="12" t="s">
        <v>991</v>
      </c>
      <c r="J269" s="14">
        <f t="shared" si="27"/>
        <v>6</v>
      </c>
      <c r="K269" s="13" t="s">
        <v>992</v>
      </c>
      <c r="L269" s="13" t="s">
        <v>28</v>
      </c>
      <c r="M269" s="25">
        <v>0</v>
      </c>
      <c r="N269" s="25">
        <v>1</v>
      </c>
      <c r="O269" s="26" t="str">
        <f t="shared" si="25"/>
        <v>不校正</v>
      </c>
      <c r="P269" s="13" t="s">
        <v>993</v>
      </c>
      <c r="Q269" s="13" t="s">
        <v>159</v>
      </c>
      <c r="R269" s="13" t="s">
        <v>160</v>
      </c>
      <c r="S269" s="13"/>
    </row>
    <row r="270" spans="1:19" ht="27" customHeight="1">
      <c r="A270" s="17" t="s">
        <v>994</v>
      </c>
      <c r="B270" s="17" t="s">
        <v>986</v>
      </c>
      <c r="C270" s="17" t="s">
        <v>987</v>
      </c>
      <c r="D270" s="17" t="s">
        <v>988</v>
      </c>
      <c r="E270" s="18" t="s">
        <v>81</v>
      </c>
      <c r="F270" s="17" t="s">
        <v>995</v>
      </c>
      <c r="G270" s="17" t="s">
        <v>990</v>
      </c>
      <c r="H270" s="19">
        <f t="shared" si="26"/>
        <v>4</v>
      </c>
      <c r="I270" s="17" t="s">
        <v>996</v>
      </c>
      <c r="J270" s="19">
        <f t="shared" si="27"/>
        <v>1</v>
      </c>
      <c r="K270" s="18" t="s">
        <v>992</v>
      </c>
      <c r="L270" s="18" t="s">
        <v>28</v>
      </c>
      <c r="M270" s="27">
        <v>0</v>
      </c>
      <c r="N270" s="27">
        <v>1</v>
      </c>
      <c r="O270" s="28" t="str">
        <f t="shared" si="25"/>
        <v>不校正</v>
      </c>
      <c r="P270" s="18" t="s">
        <v>993</v>
      </c>
      <c r="Q270" s="18" t="s">
        <v>159</v>
      </c>
      <c r="R270" s="18" t="s">
        <v>160</v>
      </c>
      <c r="S270" s="18"/>
    </row>
    <row r="271" spans="1:19" ht="27" customHeight="1">
      <c r="A271" s="17" t="s">
        <v>997</v>
      </c>
      <c r="B271" s="17" t="s">
        <v>986</v>
      </c>
      <c r="C271" s="17" t="s">
        <v>998</v>
      </c>
      <c r="D271" s="17" t="s">
        <v>988</v>
      </c>
      <c r="E271" s="18" t="s">
        <v>23</v>
      </c>
      <c r="F271" s="17" t="s">
        <v>989</v>
      </c>
      <c r="G271" s="17" t="s">
        <v>999</v>
      </c>
      <c r="H271" s="19">
        <f t="shared" si="26"/>
        <v>6</v>
      </c>
      <c r="I271" s="17" t="s">
        <v>1000</v>
      </c>
      <c r="J271" s="19">
        <f t="shared" si="27"/>
        <v>14</v>
      </c>
      <c r="K271" s="18" t="s">
        <v>992</v>
      </c>
      <c r="L271" s="18" t="s">
        <v>28</v>
      </c>
      <c r="M271" s="27">
        <v>-0.70064904974537068</v>
      </c>
      <c r="N271" s="27">
        <v>6.4312177987599459E-2</v>
      </c>
      <c r="O271" s="28" t="str">
        <f t="shared" si="25"/>
        <v>不校正</v>
      </c>
      <c r="P271" s="18" t="s">
        <v>1001</v>
      </c>
      <c r="Q271" s="18" t="s">
        <v>159</v>
      </c>
      <c r="R271" s="18" t="s">
        <v>160</v>
      </c>
      <c r="S271" s="18"/>
    </row>
    <row r="272" spans="1:19" ht="27" customHeight="1">
      <c r="A272" s="17" t="s">
        <v>1002</v>
      </c>
      <c r="B272" s="17" t="s">
        <v>986</v>
      </c>
      <c r="C272" s="17" t="s">
        <v>998</v>
      </c>
      <c r="D272" s="17" t="s">
        <v>988</v>
      </c>
      <c r="E272" s="18" t="s">
        <v>81</v>
      </c>
      <c r="F272" s="17" t="s">
        <v>995</v>
      </c>
      <c r="G272" s="17" t="s">
        <v>999</v>
      </c>
      <c r="H272" s="19">
        <f t="shared" si="26"/>
        <v>6</v>
      </c>
      <c r="I272" s="17" t="s">
        <v>1003</v>
      </c>
      <c r="J272" s="19">
        <f t="shared" si="27"/>
        <v>2</v>
      </c>
      <c r="K272" s="18" t="s">
        <v>992</v>
      </c>
      <c r="L272" s="18" t="s">
        <v>28</v>
      </c>
      <c r="M272" s="27">
        <v>-0.70064904974537068</v>
      </c>
      <c r="N272" s="27">
        <v>6.4312177987599459E-2</v>
      </c>
      <c r="O272" s="28" t="str">
        <f t="shared" si="25"/>
        <v>不校正</v>
      </c>
      <c r="P272" s="18" t="s">
        <v>1001</v>
      </c>
      <c r="Q272" s="18" t="s">
        <v>159</v>
      </c>
      <c r="R272" s="18" t="s">
        <v>160</v>
      </c>
      <c r="S272" s="18"/>
    </row>
    <row r="273" spans="1:19" ht="36" customHeight="1">
      <c r="A273" s="17" t="s">
        <v>1004</v>
      </c>
      <c r="B273" s="17" t="s">
        <v>986</v>
      </c>
      <c r="C273" s="17" t="s">
        <v>1005</v>
      </c>
      <c r="D273" s="17" t="s">
        <v>988</v>
      </c>
      <c r="E273" s="18" t="s">
        <v>23</v>
      </c>
      <c r="F273" s="17" t="s">
        <v>989</v>
      </c>
      <c r="G273" s="17" t="s">
        <v>1006</v>
      </c>
      <c r="H273" s="19">
        <f t="shared" si="26"/>
        <v>11</v>
      </c>
      <c r="I273" s="17" t="s">
        <v>1007</v>
      </c>
      <c r="J273" s="19">
        <f t="shared" si="27"/>
        <v>12</v>
      </c>
      <c r="K273" s="18" t="s">
        <v>992</v>
      </c>
      <c r="L273" s="18" t="s">
        <v>28</v>
      </c>
      <c r="M273" s="27">
        <v>0.2624871835558843</v>
      </c>
      <c r="N273" s="27">
        <v>0.308179547467054</v>
      </c>
      <c r="O273" s="28" t="str">
        <f t="shared" si="25"/>
        <v>不校正</v>
      </c>
      <c r="P273" s="18" t="s">
        <v>1008</v>
      </c>
      <c r="Q273" s="18" t="s">
        <v>159</v>
      </c>
      <c r="R273" s="18" t="s">
        <v>160</v>
      </c>
      <c r="S273" s="18"/>
    </row>
    <row r="274" spans="1:19" ht="36" customHeight="1">
      <c r="A274" s="17" t="s">
        <v>1009</v>
      </c>
      <c r="B274" s="17" t="s">
        <v>986</v>
      </c>
      <c r="C274" s="17" t="s">
        <v>1005</v>
      </c>
      <c r="D274" s="17" t="s">
        <v>988</v>
      </c>
      <c r="E274" s="18" t="s">
        <v>81</v>
      </c>
      <c r="F274" s="17" t="s">
        <v>995</v>
      </c>
      <c r="G274" s="17" t="s">
        <v>1006</v>
      </c>
      <c r="H274" s="19">
        <f t="shared" si="26"/>
        <v>11</v>
      </c>
      <c r="I274" s="17" t="s">
        <v>691</v>
      </c>
      <c r="J274" s="19">
        <f t="shared" si="27"/>
        <v>1</v>
      </c>
      <c r="K274" s="18" t="s">
        <v>992</v>
      </c>
      <c r="L274" s="18" t="s">
        <v>28</v>
      </c>
      <c r="M274" s="27">
        <v>0.2624871835558843</v>
      </c>
      <c r="N274" s="27">
        <v>0.308179547467054</v>
      </c>
      <c r="O274" s="28" t="str">
        <f t="shared" si="25"/>
        <v>不校正</v>
      </c>
      <c r="P274" s="18" t="s">
        <v>1008</v>
      </c>
      <c r="Q274" s="18" t="s">
        <v>159</v>
      </c>
      <c r="R274" s="18" t="s">
        <v>160</v>
      </c>
      <c r="S274" s="18"/>
    </row>
    <row r="275" spans="1:19" ht="36" customHeight="1">
      <c r="A275" s="17" t="s">
        <v>1010</v>
      </c>
      <c r="B275" s="17" t="s">
        <v>986</v>
      </c>
      <c r="C275" s="17" t="s">
        <v>987</v>
      </c>
      <c r="D275" s="17" t="s">
        <v>1011</v>
      </c>
      <c r="E275" s="18" t="s">
        <v>23</v>
      </c>
      <c r="F275" s="17" t="s">
        <v>1012</v>
      </c>
      <c r="G275" s="17" t="s">
        <v>328</v>
      </c>
      <c r="H275" s="19">
        <f t="shared" si="26"/>
        <v>3</v>
      </c>
      <c r="I275" s="17" t="s">
        <v>1013</v>
      </c>
      <c r="J275" s="19">
        <f t="shared" si="27"/>
        <v>4</v>
      </c>
      <c r="K275" s="18" t="s">
        <v>64</v>
      </c>
      <c r="L275" s="18" t="s">
        <v>28</v>
      </c>
      <c r="M275" s="20"/>
      <c r="N275" s="20"/>
      <c r="O275" s="21" t="s">
        <v>190</v>
      </c>
      <c r="P275" s="18" t="s">
        <v>1014</v>
      </c>
      <c r="Q275" s="18" t="s">
        <v>159</v>
      </c>
      <c r="R275" s="18" t="s">
        <v>160</v>
      </c>
      <c r="S275" s="18" t="s">
        <v>192</v>
      </c>
    </row>
    <row r="276" spans="1:19" ht="36" customHeight="1">
      <c r="A276" s="17" t="s">
        <v>1015</v>
      </c>
      <c r="B276" s="17" t="s">
        <v>986</v>
      </c>
      <c r="C276" s="17" t="s">
        <v>987</v>
      </c>
      <c r="D276" s="17" t="s">
        <v>1011</v>
      </c>
      <c r="E276" s="18" t="s">
        <v>81</v>
      </c>
      <c r="F276" s="17" t="s">
        <v>1016</v>
      </c>
      <c r="G276" s="17" t="s">
        <v>328</v>
      </c>
      <c r="H276" s="19">
        <f t="shared" si="26"/>
        <v>3</v>
      </c>
      <c r="I276" s="17" t="s">
        <v>1017</v>
      </c>
      <c r="J276" s="19">
        <f t="shared" si="27"/>
        <v>2</v>
      </c>
      <c r="K276" s="18" t="s">
        <v>64</v>
      </c>
      <c r="L276" s="18" t="s">
        <v>28</v>
      </c>
      <c r="M276" s="20"/>
      <c r="N276" s="20"/>
      <c r="O276" s="21" t="s">
        <v>190</v>
      </c>
      <c r="P276" s="18" t="s">
        <v>1014</v>
      </c>
      <c r="Q276" s="18" t="s">
        <v>159</v>
      </c>
      <c r="R276" s="18" t="s">
        <v>160</v>
      </c>
      <c r="S276" s="18" t="s">
        <v>192</v>
      </c>
    </row>
    <row r="277" spans="1:19" ht="36" customHeight="1">
      <c r="A277" s="17" t="s">
        <v>1018</v>
      </c>
      <c r="B277" s="17" t="s">
        <v>986</v>
      </c>
      <c r="C277" s="17" t="s">
        <v>998</v>
      </c>
      <c r="D277" s="17" t="s">
        <v>1011</v>
      </c>
      <c r="E277" s="18" t="s">
        <v>23</v>
      </c>
      <c r="F277" s="17" t="s">
        <v>1012</v>
      </c>
      <c r="G277" s="17" t="s">
        <v>401</v>
      </c>
      <c r="H277" s="19">
        <f t="shared" si="26"/>
        <v>5</v>
      </c>
      <c r="I277" s="17" t="s">
        <v>1019</v>
      </c>
      <c r="J277" s="19">
        <f t="shared" si="27"/>
        <v>7</v>
      </c>
      <c r="K277" s="18" t="s">
        <v>64</v>
      </c>
      <c r="L277" s="18" t="s">
        <v>28</v>
      </c>
      <c r="M277" s="20"/>
      <c r="N277" s="20"/>
      <c r="O277" s="21" t="s">
        <v>190</v>
      </c>
      <c r="P277" s="18" t="s">
        <v>1020</v>
      </c>
      <c r="Q277" s="18" t="s">
        <v>159</v>
      </c>
      <c r="R277" s="18" t="s">
        <v>160</v>
      </c>
      <c r="S277" s="18" t="s">
        <v>192</v>
      </c>
    </row>
    <row r="278" spans="1:19" ht="36" customHeight="1">
      <c r="A278" s="17" t="s">
        <v>1021</v>
      </c>
      <c r="B278" s="17" t="s">
        <v>986</v>
      </c>
      <c r="C278" s="17" t="s">
        <v>998</v>
      </c>
      <c r="D278" s="17" t="s">
        <v>1011</v>
      </c>
      <c r="E278" s="18" t="s">
        <v>81</v>
      </c>
      <c r="F278" s="17" t="s">
        <v>1016</v>
      </c>
      <c r="G278" s="17" t="s">
        <v>401</v>
      </c>
      <c r="H278" s="19">
        <f t="shared" si="26"/>
        <v>5</v>
      </c>
      <c r="I278" s="17" t="s">
        <v>1022</v>
      </c>
      <c r="J278" s="19">
        <f t="shared" si="27"/>
        <v>2</v>
      </c>
      <c r="K278" s="18" t="s">
        <v>64</v>
      </c>
      <c r="L278" s="18" t="s">
        <v>28</v>
      </c>
      <c r="M278" s="20"/>
      <c r="N278" s="20"/>
      <c r="O278" s="21" t="s">
        <v>190</v>
      </c>
      <c r="P278" s="18" t="s">
        <v>1020</v>
      </c>
      <c r="Q278" s="18" t="s">
        <v>159</v>
      </c>
      <c r="R278" s="18" t="s">
        <v>160</v>
      </c>
      <c r="S278" s="18" t="s">
        <v>192</v>
      </c>
    </row>
    <row r="279" spans="1:19" ht="36" customHeight="1">
      <c r="A279" s="17" t="s">
        <v>1023</v>
      </c>
      <c r="B279" s="17" t="s">
        <v>986</v>
      </c>
      <c r="C279" s="17" t="s">
        <v>1005</v>
      </c>
      <c r="D279" s="17" t="s">
        <v>1011</v>
      </c>
      <c r="E279" s="18" t="s">
        <v>23</v>
      </c>
      <c r="F279" s="17" t="s">
        <v>1012</v>
      </c>
      <c r="G279" s="17" t="s">
        <v>1024</v>
      </c>
      <c r="H279" s="19">
        <f t="shared" si="26"/>
        <v>8</v>
      </c>
      <c r="I279" s="17" t="s">
        <v>1025</v>
      </c>
      <c r="J279" s="19">
        <f t="shared" si="27"/>
        <v>13</v>
      </c>
      <c r="K279" s="18" t="s">
        <v>64</v>
      </c>
      <c r="L279" s="18" t="s">
        <v>28</v>
      </c>
      <c r="M279" s="27">
        <v>-0.10910894511799619</v>
      </c>
      <c r="N279" s="27">
        <v>0.73888268036352733</v>
      </c>
      <c r="O279" s="28" t="str">
        <f>IF(AND(N279&lt;0.05,OR(AND(L279="升高改善",M279&gt;0),AND(L279="降低改善",M279&lt;0))),"校正","不校正")</f>
        <v>不校正</v>
      </c>
      <c r="P279" s="18" t="s">
        <v>1026</v>
      </c>
      <c r="Q279" s="18" t="s">
        <v>159</v>
      </c>
      <c r="R279" s="18" t="s">
        <v>160</v>
      </c>
      <c r="S279" s="18"/>
    </row>
    <row r="280" spans="1:19" ht="36" customHeight="1">
      <c r="A280" s="17" t="s">
        <v>1027</v>
      </c>
      <c r="B280" s="17" t="s">
        <v>986</v>
      </c>
      <c r="C280" s="17" t="s">
        <v>1005</v>
      </c>
      <c r="D280" s="17" t="s">
        <v>1011</v>
      </c>
      <c r="E280" s="18" t="s">
        <v>81</v>
      </c>
      <c r="F280" s="17" t="s">
        <v>1016</v>
      </c>
      <c r="G280" s="17" t="s">
        <v>1024</v>
      </c>
      <c r="H280" s="19">
        <f t="shared" si="26"/>
        <v>8</v>
      </c>
      <c r="I280" s="17" t="s">
        <v>894</v>
      </c>
      <c r="J280" s="19">
        <f t="shared" si="27"/>
        <v>1</v>
      </c>
      <c r="K280" s="18" t="s">
        <v>64</v>
      </c>
      <c r="L280" s="18" t="s">
        <v>28</v>
      </c>
      <c r="M280" s="27">
        <v>-0.10910894511799619</v>
      </c>
      <c r="N280" s="27">
        <v>0.73888268036352733</v>
      </c>
      <c r="O280" s="28" t="str">
        <f>IF(AND(N280&lt;0.05,OR(AND(L280="升高改善",M280&gt;0),AND(L280="降低改善",M280&lt;0))),"校正","不校正")</f>
        <v>不校正</v>
      </c>
      <c r="P280" s="18" t="s">
        <v>1026</v>
      </c>
      <c r="Q280" s="18" t="s">
        <v>159</v>
      </c>
      <c r="R280" s="18" t="s">
        <v>160</v>
      </c>
      <c r="S280" s="18"/>
    </row>
    <row r="281" spans="1:19" ht="48" customHeight="1">
      <c r="A281" s="2" t="s">
        <v>1028</v>
      </c>
      <c r="B281" s="2" t="s">
        <v>1029</v>
      </c>
      <c r="C281" s="2" t="s">
        <v>1030</v>
      </c>
      <c r="D281" s="2" t="s">
        <v>1031</v>
      </c>
      <c r="E281" s="3" t="s">
        <v>23</v>
      </c>
      <c r="F281" s="2" t="s">
        <v>1032</v>
      </c>
      <c r="G281" s="2" t="s">
        <v>1033</v>
      </c>
      <c r="H281" s="4">
        <f t="shared" si="26"/>
        <v>5</v>
      </c>
      <c r="I281" s="2" t="s">
        <v>1034</v>
      </c>
      <c r="J281" s="4">
        <f t="shared" si="27"/>
        <v>7</v>
      </c>
      <c r="K281" s="3" t="s">
        <v>64</v>
      </c>
      <c r="L281" s="3" t="s">
        <v>101</v>
      </c>
      <c r="M281" s="5">
        <v>0</v>
      </c>
      <c r="N281" s="5">
        <v>1</v>
      </c>
      <c r="O281" s="6" t="str">
        <f>IF(AND(N281&lt;0.05,OR(AND(L281="升高改善",M281&gt;0),AND(L281="降低改善",M281&lt;0))),"校正","不校正")</f>
        <v>不校正</v>
      </c>
      <c r="P281" s="3" t="s">
        <v>1035</v>
      </c>
      <c r="Q281" s="3" t="s">
        <v>159</v>
      </c>
      <c r="R281" s="3" t="s">
        <v>160</v>
      </c>
      <c r="S281" s="3"/>
    </row>
    <row r="282" spans="1:19" ht="48" customHeight="1">
      <c r="A282" s="7" t="s">
        <v>1036</v>
      </c>
      <c r="B282" s="7" t="s">
        <v>1029</v>
      </c>
      <c r="C282" s="7" t="s">
        <v>1030</v>
      </c>
      <c r="D282" s="7" t="s">
        <v>1031</v>
      </c>
      <c r="E282" s="8" t="s">
        <v>23</v>
      </c>
      <c r="F282" s="7" t="s">
        <v>1037</v>
      </c>
      <c r="G282" s="7" t="s">
        <v>1038</v>
      </c>
      <c r="H282" s="9">
        <f t="shared" si="26"/>
        <v>7</v>
      </c>
      <c r="I282" s="7" t="s">
        <v>1039</v>
      </c>
      <c r="J282" s="9">
        <f t="shared" si="27"/>
        <v>6</v>
      </c>
      <c r="K282" s="8" t="s">
        <v>64</v>
      </c>
      <c r="L282" s="8" t="s">
        <v>101</v>
      </c>
      <c r="M282" s="10">
        <v>0.65081402661828658</v>
      </c>
      <c r="N282" s="10">
        <v>4.5713350723202241E-2</v>
      </c>
      <c r="O282" s="11" t="str">
        <f>IF(AND(N282&lt;0.05,OR(AND(L282="升高改善",M282&gt;0),AND(L282="降低改善",M282&lt;0))),"校正","不校正")</f>
        <v>不校正</v>
      </c>
      <c r="P282" s="8" t="s">
        <v>1035</v>
      </c>
      <c r="Q282" s="8" t="s">
        <v>159</v>
      </c>
      <c r="R282" s="8" t="s">
        <v>160</v>
      </c>
      <c r="S282" s="8"/>
    </row>
    <row r="283" spans="1:19" ht="48" customHeight="1">
      <c r="A283" s="7" t="s">
        <v>1040</v>
      </c>
      <c r="B283" s="7" t="s">
        <v>1029</v>
      </c>
      <c r="C283" s="7" t="s">
        <v>1030</v>
      </c>
      <c r="D283" s="7" t="s">
        <v>1031</v>
      </c>
      <c r="E283" s="8" t="s">
        <v>81</v>
      </c>
      <c r="F283" s="7" t="s">
        <v>1041</v>
      </c>
      <c r="G283" s="7" t="s">
        <v>1033</v>
      </c>
      <c r="H283" s="9">
        <f t="shared" si="26"/>
        <v>5</v>
      </c>
      <c r="I283" s="7" t="s">
        <v>1042</v>
      </c>
      <c r="J283" s="9">
        <f t="shared" si="27"/>
        <v>2</v>
      </c>
      <c r="K283" s="8" t="s">
        <v>64</v>
      </c>
      <c r="L283" s="8" t="s">
        <v>101</v>
      </c>
      <c r="M283" s="10">
        <v>0</v>
      </c>
      <c r="N283" s="10">
        <v>1</v>
      </c>
      <c r="O283" s="11" t="str">
        <f>IF(AND(N283&lt;0.05,OR(AND(L283="升高改善",M283&gt;0),AND(L283="降低改善",M283&lt;0))),"校正","不校正")</f>
        <v>不校正</v>
      </c>
      <c r="P283" s="8" t="s">
        <v>1035</v>
      </c>
      <c r="Q283" s="8" t="s">
        <v>159</v>
      </c>
      <c r="R283" s="8" t="s">
        <v>160</v>
      </c>
      <c r="S283" s="8"/>
    </row>
    <row r="284" spans="1:19" ht="48" customHeight="1">
      <c r="A284" s="12" t="s">
        <v>1043</v>
      </c>
      <c r="B284" s="12" t="s">
        <v>1044</v>
      </c>
      <c r="C284" s="12" t="s">
        <v>1045</v>
      </c>
      <c r="D284" s="12" t="s">
        <v>1046</v>
      </c>
      <c r="E284" s="13" t="s">
        <v>34</v>
      </c>
      <c r="F284" s="12" t="s">
        <v>1047</v>
      </c>
      <c r="G284" s="12" t="s">
        <v>883</v>
      </c>
      <c r="H284" s="14">
        <f t="shared" si="26"/>
        <v>1</v>
      </c>
      <c r="I284" s="12" t="s">
        <v>894</v>
      </c>
      <c r="J284" s="14">
        <f t="shared" si="27"/>
        <v>1</v>
      </c>
      <c r="K284" s="13" t="s">
        <v>64</v>
      </c>
      <c r="L284" s="13" t="s">
        <v>28</v>
      </c>
      <c r="M284" s="15"/>
      <c r="N284" s="15"/>
      <c r="O284" s="16" t="s">
        <v>167</v>
      </c>
      <c r="P284" s="13" t="s">
        <v>1048</v>
      </c>
      <c r="Q284" s="13" t="s">
        <v>159</v>
      </c>
      <c r="R284" s="13" t="s">
        <v>160</v>
      </c>
      <c r="S284" s="13" t="s">
        <v>169</v>
      </c>
    </row>
    <row r="285" spans="1:19" ht="48" customHeight="1">
      <c r="A285" s="17" t="s">
        <v>1049</v>
      </c>
      <c r="B285" s="17" t="s">
        <v>1044</v>
      </c>
      <c r="C285" s="17" t="s">
        <v>1045</v>
      </c>
      <c r="D285" s="17" t="s">
        <v>1046</v>
      </c>
      <c r="E285" s="18" t="s">
        <v>34</v>
      </c>
      <c r="F285" s="17" t="s">
        <v>1050</v>
      </c>
      <c r="G285" s="17" t="s">
        <v>883</v>
      </c>
      <c r="H285" s="19">
        <f t="shared" si="26"/>
        <v>1</v>
      </c>
      <c r="I285" s="17" t="s">
        <v>894</v>
      </c>
      <c r="J285" s="19">
        <f t="shared" si="27"/>
        <v>1</v>
      </c>
      <c r="K285" s="18" t="s">
        <v>64</v>
      </c>
      <c r="L285" s="18" t="s">
        <v>28</v>
      </c>
      <c r="M285" s="20"/>
      <c r="N285" s="20"/>
      <c r="O285" s="21" t="s">
        <v>167</v>
      </c>
      <c r="P285" s="18" t="s">
        <v>1051</v>
      </c>
      <c r="Q285" s="18" t="s">
        <v>159</v>
      </c>
      <c r="R285" s="18" t="s">
        <v>160</v>
      </c>
      <c r="S285" s="18" t="s">
        <v>169</v>
      </c>
    </row>
    <row r="286" spans="1:19" ht="48" customHeight="1">
      <c r="A286" s="17" t="s">
        <v>1052</v>
      </c>
      <c r="B286" s="17" t="s">
        <v>1044</v>
      </c>
      <c r="C286" s="17" t="s">
        <v>1053</v>
      </c>
      <c r="D286" s="17" t="s">
        <v>1046</v>
      </c>
      <c r="E286" s="18" t="s">
        <v>23</v>
      </c>
      <c r="F286" s="17" t="s">
        <v>1054</v>
      </c>
      <c r="G286" s="17" t="s">
        <v>1055</v>
      </c>
      <c r="H286" s="19">
        <f t="shared" si="26"/>
        <v>10</v>
      </c>
      <c r="I286" s="17" t="s">
        <v>1056</v>
      </c>
      <c r="J286" s="19">
        <f t="shared" si="27"/>
        <v>8</v>
      </c>
      <c r="K286" s="18" t="s">
        <v>64</v>
      </c>
      <c r="L286" s="18" t="s">
        <v>28</v>
      </c>
      <c r="M286" s="20"/>
      <c r="N286" s="20"/>
      <c r="O286" s="21" t="s">
        <v>65</v>
      </c>
      <c r="P286" s="18" t="s">
        <v>1057</v>
      </c>
      <c r="Q286" s="18" t="s">
        <v>159</v>
      </c>
      <c r="R286" s="18" t="s">
        <v>160</v>
      </c>
      <c r="S286" s="18" t="s">
        <v>1058</v>
      </c>
    </row>
    <row r="287" spans="1:19" ht="48" customHeight="1">
      <c r="A287" s="17" t="s">
        <v>1059</v>
      </c>
      <c r="B287" s="17" t="s">
        <v>1044</v>
      </c>
      <c r="C287" s="17" t="s">
        <v>1053</v>
      </c>
      <c r="D287" s="17" t="s">
        <v>1046</v>
      </c>
      <c r="E287" s="18" t="s">
        <v>81</v>
      </c>
      <c r="F287" s="17" t="s">
        <v>1060</v>
      </c>
      <c r="G287" s="17" t="s">
        <v>1055</v>
      </c>
      <c r="H287" s="19">
        <f t="shared" si="26"/>
        <v>10</v>
      </c>
      <c r="I287" s="17" t="s">
        <v>1061</v>
      </c>
      <c r="J287" s="19">
        <f t="shared" si="27"/>
        <v>7</v>
      </c>
      <c r="K287" s="18" t="s">
        <v>64</v>
      </c>
      <c r="L287" s="18" t="s">
        <v>28</v>
      </c>
      <c r="M287" s="20"/>
      <c r="N287" s="20"/>
      <c r="O287" s="21" t="s">
        <v>65</v>
      </c>
      <c r="P287" s="18" t="s">
        <v>1062</v>
      </c>
      <c r="Q287" s="18" t="s">
        <v>159</v>
      </c>
      <c r="R287" s="18" t="s">
        <v>160</v>
      </c>
      <c r="S287" s="18" t="s">
        <v>1058</v>
      </c>
    </row>
    <row r="288" spans="1:19" ht="48" customHeight="1">
      <c r="A288" s="17" t="s">
        <v>1063</v>
      </c>
      <c r="B288" s="17" t="s">
        <v>1044</v>
      </c>
      <c r="C288" s="17" t="s">
        <v>1053</v>
      </c>
      <c r="D288" s="17" t="s">
        <v>1046</v>
      </c>
      <c r="E288" s="18" t="s">
        <v>34</v>
      </c>
      <c r="F288" s="17" t="s">
        <v>1047</v>
      </c>
      <c r="G288" s="17" t="s">
        <v>883</v>
      </c>
      <c r="H288" s="19">
        <f t="shared" si="26"/>
        <v>1</v>
      </c>
      <c r="I288" s="17" t="s">
        <v>603</v>
      </c>
      <c r="J288" s="19">
        <f t="shared" si="27"/>
        <v>1</v>
      </c>
      <c r="K288" s="18" t="s">
        <v>64</v>
      </c>
      <c r="L288" s="18" t="s">
        <v>28</v>
      </c>
      <c r="M288" s="20"/>
      <c r="N288" s="20"/>
      <c r="O288" s="21" t="s">
        <v>167</v>
      </c>
      <c r="P288" s="18" t="s">
        <v>1064</v>
      </c>
      <c r="Q288" s="18" t="s">
        <v>159</v>
      </c>
      <c r="R288" s="18" t="s">
        <v>160</v>
      </c>
      <c r="S288" s="18" t="s">
        <v>169</v>
      </c>
    </row>
    <row r="289" spans="1:19" ht="48" customHeight="1">
      <c r="A289" s="17" t="s">
        <v>1065</v>
      </c>
      <c r="B289" s="17" t="s">
        <v>1044</v>
      </c>
      <c r="C289" s="17" t="s">
        <v>1053</v>
      </c>
      <c r="D289" s="17" t="s">
        <v>1046</v>
      </c>
      <c r="E289" s="18" t="s">
        <v>34</v>
      </c>
      <c r="F289" s="17" t="s">
        <v>1050</v>
      </c>
      <c r="G289" s="17" t="s">
        <v>883</v>
      </c>
      <c r="H289" s="19">
        <f t="shared" si="26"/>
        <v>1</v>
      </c>
      <c r="I289" s="17" t="s">
        <v>1066</v>
      </c>
      <c r="J289" s="19">
        <f t="shared" si="27"/>
        <v>1</v>
      </c>
      <c r="K289" s="18" t="s">
        <v>64</v>
      </c>
      <c r="L289" s="18" t="s">
        <v>28</v>
      </c>
      <c r="M289" s="20"/>
      <c r="N289" s="20"/>
      <c r="O289" s="21" t="s">
        <v>167</v>
      </c>
      <c r="P289" s="18" t="s">
        <v>1067</v>
      </c>
      <c r="Q289" s="18" t="s">
        <v>159</v>
      </c>
      <c r="R289" s="18" t="s">
        <v>160</v>
      </c>
      <c r="S289" s="18" t="s">
        <v>169</v>
      </c>
    </row>
    <row r="290" spans="1:19" ht="48" customHeight="1">
      <c r="A290" s="17" t="s">
        <v>1068</v>
      </c>
      <c r="B290" s="17" t="s">
        <v>1044</v>
      </c>
      <c r="C290" s="17" t="s">
        <v>1069</v>
      </c>
      <c r="D290" s="17" t="s">
        <v>1046</v>
      </c>
      <c r="E290" s="18" t="s">
        <v>23</v>
      </c>
      <c r="F290" s="17" t="s">
        <v>1054</v>
      </c>
      <c r="G290" s="17" t="s">
        <v>1070</v>
      </c>
      <c r="H290" s="19">
        <f t="shared" si="26"/>
        <v>14</v>
      </c>
      <c r="I290" s="17" t="s">
        <v>1071</v>
      </c>
      <c r="J290" s="19">
        <f t="shared" si="27"/>
        <v>7</v>
      </c>
      <c r="K290" s="18" t="s">
        <v>64</v>
      </c>
      <c r="L290" s="18" t="s">
        <v>28</v>
      </c>
      <c r="M290" s="20"/>
      <c r="N290" s="20"/>
      <c r="O290" s="21" t="s">
        <v>65</v>
      </c>
      <c r="P290" s="18" t="s">
        <v>1072</v>
      </c>
      <c r="Q290" s="18" t="s">
        <v>159</v>
      </c>
      <c r="R290" s="18" t="s">
        <v>160</v>
      </c>
      <c r="S290" s="18" t="s">
        <v>1058</v>
      </c>
    </row>
    <row r="291" spans="1:19" ht="48" customHeight="1">
      <c r="A291" s="17" t="s">
        <v>1073</v>
      </c>
      <c r="B291" s="17" t="s">
        <v>1044</v>
      </c>
      <c r="C291" s="17" t="s">
        <v>1069</v>
      </c>
      <c r="D291" s="17" t="s">
        <v>1046</v>
      </c>
      <c r="E291" s="18" t="s">
        <v>81</v>
      </c>
      <c r="F291" s="17" t="s">
        <v>1060</v>
      </c>
      <c r="G291" s="22"/>
      <c r="H291" s="23"/>
      <c r="I291" s="22"/>
      <c r="J291" s="23"/>
      <c r="K291" s="18" t="s">
        <v>64</v>
      </c>
      <c r="L291" s="18" t="s">
        <v>28</v>
      </c>
      <c r="M291" s="20"/>
      <c r="N291" s="20"/>
      <c r="O291" s="21"/>
      <c r="P291" s="18" t="s">
        <v>1074</v>
      </c>
      <c r="Q291" s="18" t="s">
        <v>159</v>
      </c>
      <c r="R291" s="24" t="s">
        <v>94</v>
      </c>
      <c r="S291" s="18" t="s">
        <v>1075</v>
      </c>
    </row>
    <row r="292" spans="1:19" ht="48" customHeight="1">
      <c r="A292" s="17" t="s">
        <v>1076</v>
      </c>
      <c r="B292" s="17" t="s">
        <v>1044</v>
      </c>
      <c r="C292" s="17" t="s">
        <v>1069</v>
      </c>
      <c r="D292" s="17" t="s">
        <v>1046</v>
      </c>
      <c r="E292" s="18" t="s">
        <v>34</v>
      </c>
      <c r="F292" s="17" t="s">
        <v>1047</v>
      </c>
      <c r="G292" s="17" t="s">
        <v>883</v>
      </c>
      <c r="H292" s="19">
        <f t="shared" ref="H292:H327" si="28">IF(LEN(G292)=0,"",IF(ISNUMBER(SEARCH(",",G292)),LEN(SUBSTITUTE(G292,",","xx"))-LEN(G292)+1,1))</f>
        <v>1</v>
      </c>
      <c r="I292" s="17" t="s">
        <v>1077</v>
      </c>
      <c r="J292" s="19">
        <f t="shared" ref="J292:J327" si="29">IF(LEN(I292)=0,"",IF(ISNUMBER(SEARCH(",",I292)),LEN(SUBSTITUTE(I292,",","xx"))-LEN(I292)+1,1))</f>
        <v>1</v>
      </c>
      <c r="K292" s="18" t="s">
        <v>64</v>
      </c>
      <c r="L292" s="18" t="s">
        <v>28</v>
      </c>
      <c r="M292" s="20"/>
      <c r="N292" s="20"/>
      <c r="O292" s="21" t="s">
        <v>167</v>
      </c>
      <c r="P292" s="18" t="s">
        <v>1078</v>
      </c>
      <c r="Q292" s="18" t="s">
        <v>159</v>
      </c>
      <c r="R292" s="18" t="s">
        <v>160</v>
      </c>
      <c r="S292" s="18" t="s">
        <v>169</v>
      </c>
    </row>
    <row r="293" spans="1:19" ht="48" customHeight="1">
      <c r="A293" s="17" t="s">
        <v>1079</v>
      </c>
      <c r="B293" s="17" t="s">
        <v>1044</v>
      </c>
      <c r="C293" s="17" t="s">
        <v>1069</v>
      </c>
      <c r="D293" s="17" t="s">
        <v>1046</v>
      </c>
      <c r="E293" s="18" t="s">
        <v>34</v>
      </c>
      <c r="F293" s="17" t="s">
        <v>1050</v>
      </c>
      <c r="G293" s="17" t="s">
        <v>883</v>
      </c>
      <c r="H293" s="19">
        <f t="shared" si="28"/>
        <v>1</v>
      </c>
      <c r="I293" s="17" t="s">
        <v>1077</v>
      </c>
      <c r="J293" s="19">
        <f t="shared" si="29"/>
        <v>1</v>
      </c>
      <c r="K293" s="18" t="s">
        <v>64</v>
      </c>
      <c r="L293" s="18" t="s">
        <v>28</v>
      </c>
      <c r="M293" s="20"/>
      <c r="N293" s="20"/>
      <c r="O293" s="21" t="s">
        <v>167</v>
      </c>
      <c r="P293" s="18" t="s">
        <v>1080</v>
      </c>
      <c r="Q293" s="18" t="s">
        <v>159</v>
      </c>
      <c r="R293" s="18" t="s">
        <v>160</v>
      </c>
      <c r="S293" s="18" t="s">
        <v>169</v>
      </c>
    </row>
    <row r="294" spans="1:19" ht="48" customHeight="1">
      <c r="A294" s="17" t="s">
        <v>1081</v>
      </c>
      <c r="B294" s="17" t="s">
        <v>1044</v>
      </c>
      <c r="C294" s="17" t="s">
        <v>1082</v>
      </c>
      <c r="D294" s="17" t="s">
        <v>1046</v>
      </c>
      <c r="E294" s="18" t="s">
        <v>23</v>
      </c>
      <c r="F294" s="17" t="s">
        <v>1054</v>
      </c>
      <c r="G294" s="17" t="s">
        <v>1083</v>
      </c>
      <c r="H294" s="19">
        <f t="shared" si="28"/>
        <v>18</v>
      </c>
      <c r="I294" s="17" t="s">
        <v>1084</v>
      </c>
      <c r="J294" s="19">
        <f t="shared" si="29"/>
        <v>7</v>
      </c>
      <c r="K294" s="18" t="s">
        <v>64</v>
      </c>
      <c r="L294" s="18" t="s">
        <v>28</v>
      </c>
      <c r="M294" s="20"/>
      <c r="N294" s="20"/>
      <c r="O294" s="21" t="s">
        <v>65</v>
      </c>
      <c r="P294" s="18" t="s">
        <v>1085</v>
      </c>
      <c r="Q294" s="18" t="s">
        <v>159</v>
      </c>
      <c r="R294" s="18" t="s">
        <v>160</v>
      </c>
      <c r="S294" s="18" t="s">
        <v>1058</v>
      </c>
    </row>
    <row r="295" spans="1:19" ht="48" customHeight="1">
      <c r="A295" s="17" t="s">
        <v>1086</v>
      </c>
      <c r="B295" s="17" t="s">
        <v>1044</v>
      </c>
      <c r="C295" s="17" t="s">
        <v>1082</v>
      </c>
      <c r="D295" s="17" t="s">
        <v>1046</v>
      </c>
      <c r="E295" s="18" t="s">
        <v>81</v>
      </c>
      <c r="F295" s="17" t="s">
        <v>1060</v>
      </c>
      <c r="G295" s="17" t="s">
        <v>1083</v>
      </c>
      <c r="H295" s="19">
        <f t="shared" si="28"/>
        <v>18</v>
      </c>
      <c r="I295" s="17" t="s">
        <v>1087</v>
      </c>
      <c r="J295" s="19">
        <f t="shared" si="29"/>
        <v>3</v>
      </c>
      <c r="K295" s="18" t="s">
        <v>64</v>
      </c>
      <c r="L295" s="18" t="s">
        <v>28</v>
      </c>
      <c r="M295" s="20"/>
      <c r="N295" s="20"/>
      <c r="O295" s="21" t="s">
        <v>65</v>
      </c>
      <c r="P295" s="18" t="s">
        <v>1088</v>
      </c>
      <c r="Q295" s="18" t="s">
        <v>159</v>
      </c>
      <c r="R295" s="18" t="s">
        <v>160</v>
      </c>
      <c r="S295" s="18" t="s">
        <v>1058</v>
      </c>
    </row>
    <row r="296" spans="1:19" ht="48" customHeight="1">
      <c r="A296" s="17" t="s">
        <v>1089</v>
      </c>
      <c r="B296" s="17" t="s">
        <v>1044</v>
      </c>
      <c r="C296" s="17" t="s">
        <v>1082</v>
      </c>
      <c r="D296" s="17" t="s">
        <v>1046</v>
      </c>
      <c r="E296" s="18" t="s">
        <v>34</v>
      </c>
      <c r="F296" s="17" t="s">
        <v>1047</v>
      </c>
      <c r="G296" s="17" t="s">
        <v>1090</v>
      </c>
      <c r="H296" s="19">
        <f t="shared" si="28"/>
        <v>1</v>
      </c>
      <c r="I296" s="17" t="s">
        <v>1077</v>
      </c>
      <c r="J296" s="19">
        <f t="shared" si="29"/>
        <v>1</v>
      </c>
      <c r="K296" s="18" t="s">
        <v>64</v>
      </c>
      <c r="L296" s="18" t="s">
        <v>28</v>
      </c>
      <c r="M296" s="20"/>
      <c r="N296" s="20"/>
      <c r="O296" s="21" t="s">
        <v>167</v>
      </c>
      <c r="P296" s="18" t="s">
        <v>1091</v>
      </c>
      <c r="Q296" s="18" t="s">
        <v>159</v>
      </c>
      <c r="R296" s="18" t="s">
        <v>160</v>
      </c>
      <c r="S296" s="18" t="s">
        <v>169</v>
      </c>
    </row>
    <row r="297" spans="1:19" ht="48" customHeight="1">
      <c r="A297" s="17" t="s">
        <v>1092</v>
      </c>
      <c r="B297" s="17" t="s">
        <v>1044</v>
      </c>
      <c r="C297" s="17" t="s">
        <v>1082</v>
      </c>
      <c r="D297" s="17" t="s">
        <v>1046</v>
      </c>
      <c r="E297" s="18" t="s">
        <v>34</v>
      </c>
      <c r="F297" s="17" t="s">
        <v>1050</v>
      </c>
      <c r="G297" s="17" t="s">
        <v>1090</v>
      </c>
      <c r="H297" s="19">
        <f t="shared" si="28"/>
        <v>1</v>
      </c>
      <c r="I297" s="17" t="s">
        <v>1093</v>
      </c>
      <c r="J297" s="19">
        <f t="shared" si="29"/>
        <v>1</v>
      </c>
      <c r="K297" s="18" t="s">
        <v>64</v>
      </c>
      <c r="L297" s="18" t="s">
        <v>28</v>
      </c>
      <c r="M297" s="20"/>
      <c r="N297" s="20"/>
      <c r="O297" s="21" t="s">
        <v>167</v>
      </c>
      <c r="P297" s="18" t="s">
        <v>1094</v>
      </c>
      <c r="Q297" s="18" t="s">
        <v>159</v>
      </c>
      <c r="R297" s="18" t="s">
        <v>160</v>
      </c>
      <c r="S297" s="18" t="s">
        <v>169</v>
      </c>
    </row>
    <row r="298" spans="1:19" ht="48" customHeight="1">
      <c r="A298" s="2" t="s">
        <v>1095</v>
      </c>
      <c r="B298" s="2" t="s">
        <v>1096</v>
      </c>
      <c r="C298" s="2" t="s">
        <v>1097</v>
      </c>
      <c r="D298" s="2" t="s">
        <v>1098</v>
      </c>
      <c r="E298" s="3" t="s">
        <v>23</v>
      </c>
      <c r="F298" s="2" t="s">
        <v>1099</v>
      </c>
      <c r="G298" s="2" t="s">
        <v>1100</v>
      </c>
      <c r="H298" s="4">
        <f t="shared" si="28"/>
        <v>3</v>
      </c>
      <c r="I298" s="2" t="s">
        <v>1101</v>
      </c>
      <c r="J298" s="4">
        <f t="shared" si="29"/>
        <v>3</v>
      </c>
      <c r="K298" s="3" t="s">
        <v>1102</v>
      </c>
      <c r="L298" s="3" t="s">
        <v>28</v>
      </c>
      <c r="M298" s="5">
        <v>-1</v>
      </c>
      <c r="N298" s="5">
        <v>0.11718508719813807</v>
      </c>
      <c r="O298" s="6" t="str">
        <f>IF(AND(N298&lt;0.05,OR(AND(L298="升高改善",M298&gt;0),AND(L298="降低改善",M298&lt;0))),"校正","不校正")</f>
        <v>不校正</v>
      </c>
      <c r="P298" s="3" t="s">
        <v>1103</v>
      </c>
      <c r="Q298" s="3" t="s">
        <v>159</v>
      </c>
      <c r="R298" s="3" t="s">
        <v>160</v>
      </c>
      <c r="S298" s="3"/>
    </row>
    <row r="299" spans="1:19" ht="48" customHeight="1">
      <c r="A299" s="7" t="s">
        <v>1104</v>
      </c>
      <c r="B299" s="7" t="s">
        <v>1096</v>
      </c>
      <c r="C299" s="7" t="s">
        <v>1097</v>
      </c>
      <c r="D299" s="7" t="s">
        <v>1098</v>
      </c>
      <c r="E299" s="8" t="s">
        <v>23</v>
      </c>
      <c r="F299" s="7" t="s">
        <v>1105</v>
      </c>
      <c r="G299" s="7" t="s">
        <v>622</v>
      </c>
      <c r="H299" s="9">
        <f t="shared" si="28"/>
        <v>1</v>
      </c>
      <c r="I299" s="7" t="s">
        <v>1106</v>
      </c>
      <c r="J299" s="9">
        <f t="shared" si="29"/>
        <v>4</v>
      </c>
      <c r="K299" s="8" t="s">
        <v>1102</v>
      </c>
      <c r="L299" s="8" t="s">
        <v>28</v>
      </c>
      <c r="M299" s="20"/>
      <c r="N299" s="20"/>
      <c r="O299" s="21" t="s">
        <v>167</v>
      </c>
      <c r="P299" s="8" t="s">
        <v>1103</v>
      </c>
      <c r="Q299" s="8" t="s">
        <v>159</v>
      </c>
      <c r="R299" s="8" t="s">
        <v>160</v>
      </c>
      <c r="S299" s="8" t="s">
        <v>169</v>
      </c>
    </row>
    <row r="300" spans="1:19" ht="48" customHeight="1">
      <c r="A300" s="7" t="s">
        <v>1107</v>
      </c>
      <c r="B300" s="7" t="s">
        <v>1096</v>
      </c>
      <c r="C300" s="7" t="s">
        <v>1097</v>
      </c>
      <c r="D300" s="7" t="s">
        <v>1098</v>
      </c>
      <c r="E300" s="8" t="s">
        <v>81</v>
      </c>
      <c r="F300" s="7" t="s">
        <v>1108</v>
      </c>
      <c r="G300" s="7" t="s">
        <v>1100</v>
      </c>
      <c r="H300" s="9">
        <f t="shared" si="28"/>
        <v>3</v>
      </c>
      <c r="I300" s="7" t="s">
        <v>1109</v>
      </c>
      <c r="J300" s="9">
        <f t="shared" si="29"/>
        <v>1</v>
      </c>
      <c r="K300" s="8" t="s">
        <v>1102</v>
      </c>
      <c r="L300" s="8" t="s">
        <v>28</v>
      </c>
      <c r="M300" s="10">
        <v>-1</v>
      </c>
      <c r="N300" s="10">
        <v>0.11718508719813807</v>
      </c>
      <c r="O300" s="11" t="str">
        <f>IF(AND(N300&lt;0.05,OR(AND(L300="升高改善",M300&gt;0),AND(L300="降低改善",M300&lt;0))),"校正","不校正")</f>
        <v>不校正</v>
      </c>
      <c r="P300" s="8" t="s">
        <v>1110</v>
      </c>
      <c r="Q300" s="8" t="s">
        <v>159</v>
      </c>
      <c r="R300" s="8" t="s">
        <v>160</v>
      </c>
      <c r="S300" s="8"/>
    </row>
    <row r="301" spans="1:19" ht="48" customHeight="1">
      <c r="A301" s="7" t="s">
        <v>1111</v>
      </c>
      <c r="B301" s="7" t="s">
        <v>1096</v>
      </c>
      <c r="C301" s="7" t="s">
        <v>1112</v>
      </c>
      <c r="D301" s="7" t="s">
        <v>1098</v>
      </c>
      <c r="E301" s="8" t="s">
        <v>23</v>
      </c>
      <c r="F301" s="7" t="s">
        <v>1099</v>
      </c>
      <c r="G301" s="7" t="s">
        <v>1113</v>
      </c>
      <c r="H301" s="9">
        <f t="shared" si="28"/>
        <v>3</v>
      </c>
      <c r="I301" s="7" t="s">
        <v>1114</v>
      </c>
      <c r="J301" s="9">
        <f t="shared" si="29"/>
        <v>3</v>
      </c>
      <c r="K301" s="8" t="s">
        <v>1102</v>
      </c>
      <c r="L301" s="8" t="s">
        <v>28</v>
      </c>
      <c r="M301" s="10">
        <v>0</v>
      </c>
      <c r="N301" s="10">
        <v>1</v>
      </c>
      <c r="O301" s="11" t="str">
        <f>IF(AND(N301&lt;0.05,OR(AND(L301="升高改善",M301&gt;0),AND(L301="降低改善",M301&lt;0))),"校正","不校正")</f>
        <v>不校正</v>
      </c>
      <c r="P301" s="8" t="s">
        <v>1115</v>
      </c>
      <c r="Q301" s="8" t="s">
        <v>159</v>
      </c>
      <c r="R301" s="8" t="s">
        <v>160</v>
      </c>
      <c r="S301" s="8"/>
    </row>
    <row r="302" spans="1:19" ht="48" customHeight="1">
      <c r="A302" s="7" t="s">
        <v>1116</v>
      </c>
      <c r="B302" s="7" t="s">
        <v>1096</v>
      </c>
      <c r="C302" s="7" t="s">
        <v>1112</v>
      </c>
      <c r="D302" s="7" t="s">
        <v>1098</v>
      </c>
      <c r="E302" s="8" t="s">
        <v>23</v>
      </c>
      <c r="F302" s="7" t="s">
        <v>1105</v>
      </c>
      <c r="G302" s="7" t="s">
        <v>196</v>
      </c>
      <c r="H302" s="9">
        <f t="shared" si="28"/>
        <v>1</v>
      </c>
      <c r="I302" s="7" t="s">
        <v>1117</v>
      </c>
      <c r="J302" s="9">
        <f t="shared" si="29"/>
        <v>3</v>
      </c>
      <c r="K302" s="8" t="s">
        <v>1102</v>
      </c>
      <c r="L302" s="8" t="s">
        <v>28</v>
      </c>
      <c r="M302" s="20"/>
      <c r="N302" s="20"/>
      <c r="O302" s="21" t="s">
        <v>167</v>
      </c>
      <c r="P302" s="8" t="s">
        <v>1115</v>
      </c>
      <c r="Q302" s="8" t="s">
        <v>159</v>
      </c>
      <c r="R302" s="8" t="s">
        <v>160</v>
      </c>
      <c r="S302" s="8" t="s">
        <v>169</v>
      </c>
    </row>
    <row r="303" spans="1:19" ht="48" customHeight="1">
      <c r="A303" s="7" t="s">
        <v>1118</v>
      </c>
      <c r="B303" s="7" t="s">
        <v>1096</v>
      </c>
      <c r="C303" s="7" t="s">
        <v>1112</v>
      </c>
      <c r="D303" s="7" t="s">
        <v>1098</v>
      </c>
      <c r="E303" s="8" t="s">
        <v>81</v>
      </c>
      <c r="F303" s="7" t="s">
        <v>1108</v>
      </c>
      <c r="G303" s="7" t="s">
        <v>1113</v>
      </c>
      <c r="H303" s="9">
        <f t="shared" si="28"/>
        <v>3</v>
      </c>
      <c r="I303" s="7" t="s">
        <v>1119</v>
      </c>
      <c r="J303" s="9">
        <f t="shared" si="29"/>
        <v>1</v>
      </c>
      <c r="K303" s="8" t="s">
        <v>1102</v>
      </c>
      <c r="L303" s="8" t="s">
        <v>28</v>
      </c>
      <c r="M303" s="10">
        <v>0</v>
      </c>
      <c r="N303" s="10">
        <v>1</v>
      </c>
      <c r="O303" s="11" t="str">
        <f>IF(AND(N303&lt;0.05,OR(AND(L303="升高改善",M303&gt;0),AND(L303="降低改善",M303&lt;0))),"校正","不校正")</f>
        <v>不校正</v>
      </c>
      <c r="P303" s="8" t="s">
        <v>1120</v>
      </c>
      <c r="Q303" s="8" t="s">
        <v>159</v>
      </c>
      <c r="R303" s="8" t="s">
        <v>160</v>
      </c>
      <c r="S303" s="8"/>
    </row>
    <row r="304" spans="1:19" ht="48" customHeight="1">
      <c r="A304" s="7" t="s">
        <v>1121</v>
      </c>
      <c r="B304" s="7" t="s">
        <v>1096</v>
      </c>
      <c r="C304" s="7" t="s">
        <v>1122</v>
      </c>
      <c r="D304" s="7" t="s">
        <v>1098</v>
      </c>
      <c r="E304" s="8" t="s">
        <v>23</v>
      </c>
      <c r="F304" s="7" t="s">
        <v>1099</v>
      </c>
      <c r="G304" s="7" t="s">
        <v>335</v>
      </c>
      <c r="H304" s="9">
        <f t="shared" si="28"/>
        <v>4</v>
      </c>
      <c r="I304" s="7" t="s">
        <v>1123</v>
      </c>
      <c r="J304" s="9">
        <f t="shared" si="29"/>
        <v>4</v>
      </c>
      <c r="K304" s="8" t="s">
        <v>1102</v>
      </c>
      <c r="L304" s="8" t="s">
        <v>28</v>
      </c>
      <c r="M304" s="20"/>
      <c r="N304" s="20"/>
      <c r="O304" s="21" t="s">
        <v>190</v>
      </c>
      <c r="P304" s="8" t="s">
        <v>1124</v>
      </c>
      <c r="Q304" s="8" t="s">
        <v>159</v>
      </c>
      <c r="R304" s="8" t="s">
        <v>160</v>
      </c>
      <c r="S304" s="8" t="s">
        <v>192</v>
      </c>
    </row>
    <row r="305" spans="1:19" ht="48" customHeight="1">
      <c r="A305" s="7" t="s">
        <v>1125</v>
      </c>
      <c r="B305" s="7" t="s">
        <v>1096</v>
      </c>
      <c r="C305" s="7" t="s">
        <v>1122</v>
      </c>
      <c r="D305" s="7" t="s">
        <v>1098</v>
      </c>
      <c r="E305" s="8" t="s">
        <v>23</v>
      </c>
      <c r="F305" s="7" t="s">
        <v>1105</v>
      </c>
      <c r="G305" s="7" t="s">
        <v>774</v>
      </c>
      <c r="H305" s="9">
        <f t="shared" si="28"/>
        <v>2</v>
      </c>
      <c r="I305" s="7" t="s">
        <v>1126</v>
      </c>
      <c r="J305" s="9">
        <f t="shared" si="29"/>
        <v>3</v>
      </c>
      <c r="K305" s="8" t="s">
        <v>1102</v>
      </c>
      <c r="L305" s="8" t="s">
        <v>28</v>
      </c>
      <c r="M305" s="20"/>
      <c r="N305" s="20"/>
      <c r="O305" s="21" t="s">
        <v>190</v>
      </c>
      <c r="P305" s="8" t="s">
        <v>1124</v>
      </c>
      <c r="Q305" s="8" t="s">
        <v>159</v>
      </c>
      <c r="R305" s="8" t="s">
        <v>160</v>
      </c>
      <c r="S305" s="8" t="s">
        <v>192</v>
      </c>
    </row>
    <row r="306" spans="1:19" ht="48" customHeight="1">
      <c r="A306" s="7" t="s">
        <v>1127</v>
      </c>
      <c r="B306" s="7" t="s">
        <v>1096</v>
      </c>
      <c r="C306" s="7" t="s">
        <v>1122</v>
      </c>
      <c r="D306" s="7" t="s">
        <v>1098</v>
      </c>
      <c r="E306" s="8" t="s">
        <v>81</v>
      </c>
      <c r="F306" s="7" t="s">
        <v>1108</v>
      </c>
      <c r="G306" s="7" t="s">
        <v>335</v>
      </c>
      <c r="H306" s="9">
        <f t="shared" si="28"/>
        <v>4</v>
      </c>
      <c r="I306" s="7" t="s">
        <v>1128</v>
      </c>
      <c r="J306" s="9">
        <f t="shared" si="29"/>
        <v>1</v>
      </c>
      <c r="K306" s="8" t="s">
        <v>1102</v>
      </c>
      <c r="L306" s="8" t="s">
        <v>28</v>
      </c>
      <c r="M306" s="20"/>
      <c r="N306" s="20"/>
      <c r="O306" s="21" t="s">
        <v>190</v>
      </c>
      <c r="P306" s="8" t="s">
        <v>1129</v>
      </c>
      <c r="Q306" s="8" t="s">
        <v>159</v>
      </c>
      <c r="R306" s="8" t="s">
        <v>160</v>
      </c>
      <c r="S306" s="8" t="s">
        <v>192</v>
      </c>
    </row>
    <row r="307" spans="1:19" ht="48" customHeight="1">
      <c r="A307" s="7" t="s">
        <v>1130</v>
      </c>
      <c r="B307" s="7" t="s">
        <v>1096</v>
      </c>
      <c r="C307" s="7" t="s">
        <v>1131</v>
      </c>
      <c r="D307" s="7" t="s">
        <v>1098</v>
      </c>
      <c r="E307" s="8" t="s">
        <v>23</v>
      </c>
      <c r="F307" s="7" t="s">
        <v>1099</v>
      </c>
      <c r="G307" s="7" t="s">
        <v>1132</v>
      </c>
      <c r="H307" s="9">
        <f t="shared" si="28"/>
        <v>6</v>
      </c>
      <c r="I307" s="7" t="s">
        <v>1133</v>
      </c>
      <c r="J307" s="9">
        <f t="shared" si="29"/>
        <v>4</v>
      </c>
      <c r="K307" s="8" t="s">
        <v>1102</v>
      </c>
      <c r="L307" s="8" t="s">
        <v>28</v>
      </c>
      <c r="M307" s="10">
        <v>-0.34641016151377541</v>
      </c>
      <c r="N307" s="10">
        <v>0.37977547484094903</v>
      </c>
      <c r="O307" s="11" t="str">
        <f>IF(AND(N307&lt;0.05,OR(AND(L307="升高改善",M307&gt;0),AND(L307="降低改善",M307&lt;0))),"校正","不校正")</f>
        <v>不校正</v>
      </c>
      <c r="P307" s="8" t="s">
        <v>1134</v>
      </c>
      <c r="Q307" s="8" t="s">
        <v>159</v>
      </c>
      <c r="R307" s="8" t="s">
        <v>160</v>
      </c>
      <c r="S307" s="8"/>
    </row>
    <row r="308" spans="1:19" ht="48" customHeight="1">
      <c r="A308" s="7" t="s">
        <v>1135</v>
      </c>
      <c r="B308" s="7" t="s">
        <v>1096</v>
      </c>
      <c r="C308" s="7" t="s">
        <v>1131</v>
      </c>
      <c r="D308" s="7" t="s">
        <v>1098</v>
      </c>
      <c r="E308" s="8" t="s">
        <v>23</v>
      </c>
      <c r="F308" s="7" t="s">
        <v>1105</v>
      </c>
      <c r="G308" s="7" t="s">
        <v>196</v>
      </c>
      <c r="H308" s="9">
        <f t="shared" si="28"/>
        <v>1</v>
      </c>
      <c r="I308" s="7" t="s">
        <v>1136</v>
      </c>
      <c r="J308" s="9">
        <f t="shared" si="29"/>
        <v>2</v>
      </c>
      <c r="K308" s="8" t="s">
        <v>1102</v>
      </c>
      <c r="L308" s="8" t="s">
        <v>28</v>
      </c>
      <c r="M308" s="20"/>
      <c r="N308" s="20"/>
      <c r="O308" s="21" t="s">
        <v>167</v>
      </c>
      <c r="P308" s="8" t="s">
        <v>1134</v>
      </c>
      <c r="Q308" s="8" t="s">
        <v>159</v>
      </c>
      <c r="R308" s="8" t="s">
        <v>160</v>
      </c>
      <c r="S308" s="8" t="s">
        <v>169</v>
      </c>
    </row>
    <row r="309" spans="1:19" ht="48" customHeight="1">
      <c r="A309" s="7" t="s">
        <v>1137</v>
      </c>
      <c r="B309" s="7" t="s">
        <v>1096</v>
      </c>
      <c r="C309" s="7" t="s">
        <v>1131</v>
      </c>
      <c r="D309" s="7" t="s">
        <v>1098</v>
      </c>
      <c r="E309" s="8" t="s">
        <v>81</v>
      </c>
      <c r="F309" s="7" t="s">
        <v>1108</v>
      </c>
      <c r="G309" s="7" t="s">
        <v>1132</v>
      </c>
      <c r="H309" s="9">
        <f t="shared" si="28"/>
        <v>6</v>
      </c>
      <c r="I309" s="7" t="s">
        <v>1138</v>
      </c>
      <c r="J309" s="9">
        <f t="shared" si="29"/>
        <v>1</v>
      </c>
      <c r="K309" s="8" t="s">
        <v>1102</v>
      </c>
      <c r="L309" s="8" t="s">
        <v>28</v>
      </c>
      <c r="M309" s="10">
        <v>-0.34641016151377541</v>
      </c>
      <c r="N309" s="10">
        <v>0.37977547484094903</v>
      </c>
      <c r="O309" s="11" t="str">
        <f>IF(AND(N309&lt;0.05,OR(AND(L309="升高改善",M309&gt;0),AND(L309="降低改善",M309&lt;0))),"校正","不校正")</f>
        <v>不校正</v>
      </c>
      <c r="P309" s="8" t="s">
        <v>1139</v>
      </c>
      <c r="Q309" s="8" t="s">
        <v>159</v>
      </c>
      <c r="R309" s="8" t="s">
        <v>160</v>
      </c>
      <c r="S309" s="8"/>
    </row>
    <row r="310" spans="1:19" ht="60" customHeight="1">
      <c r="A310" s="7" t="s">
        <v>1140</v>
      </c>
      <c r="B310" s="7" t="s">
        <v>1096</v>
      </c>
      <c r="C310" s="7" t="s">
        <v>1097</v>
      </c>
      <c r="D310" s="7" t="s">
        <v>1141</v>
      </c>
      <c r="E310" s="8" t="s">
        <v>23</v>
      </c>
      <c r="F310" s="7" t="s">
        <v>1099</v>
      </c>
      <c r="G310" s="7" t="s">
        <v>1142</v>
      </c>
      <c r="H310" s="9">
        <f t="shared" si="28"/>
        <v>5</v>
      </c>
      <c r="I310" s="7" t="s">
        <v>1143</v>
      </c>
      <c r="J310" s="9">
        <f t="shared" si="29"/>
        <v>9</v>
      </c>
      <c r="K310" s="8" t="s">
        <v>1144</v>
      </c>
      <c r="L310" s="8" t="s">
        <v>28</v>
      </c>
      <c r="M310" s="10">
        <v>-0.31622776601683794</v>
      </c>
      <c r="N310" s="10">
        <v>0.44848886103153174</v>
      </c>
      <c r="O310" s="11" t="str">
        <f>IF(AND(N310&lt;0.05,OR(AND(L310="升高改善",M310&gt;0),AND(L310="降低改善",M310&lt;0))),"校正","不校正")</f>
        <v>不校正</v>
      </c>
      <c r="P310" s="8" t="s">
        <v>1145</v>
      </c>
      <c r="Q310" s="8" t="s">
        <v>159</v>
      </c>
      <c r="R310" s="8" t="s">
        <v>160</v>
      </c>
      <c r="S310" s="8"/>
    </row>
    <row r="311" spans="1:19" ht="60" customHeight="1">
      <c r="A311" s="7" t="s">
        <v>1146</v>
      </c>
      <c r="B311" s="7" t="s">
        <v>1096</v>
      </c>
      <c r="C311" s="7" t="s">
        <v>1097</v>
      </c>
      <c r="D311" s="7" t="s">
        <v>1141</v>
      </c>
      <c r="E311" s="8" t="s">
        <v>23</v>
      </c>
      <c r="F311" s="7" t="s">
        <v>1105</v>
      </c>
      <c r="G311" s="7" t="s">
        <v>487</v>
      </c>
      <c r="H311" s="9">
        <f t="shared" si="28"/>
        <v>3</v>
      </c>
      <c r="I311" s="7" t="s">
        <v>1147</v>
      </c>
      <c r="J311" s="9">
        <f t="shared" si="29"/>
        <v>7</v>
      </c>
      <c r="K311" s="8" t="s">
        <v>1144</v>
      </c>
      <c r="L311" s="8" t="s">
        <v>28</v>
      </c>
      <c r="M311" s="10">
        <v>0.81649658092772615</v>
      </c>
      <c r="N311" s="10">
        <v>0.22067136191984676</v>
      </c>
      <c r="O311" s="11" t="str">
        <f>IF(AND(N311&lt;0.05,OR(AND(L311="升高改善",M311&gt;0),AND(L311="降低改善",M311&lt;0))),"校正","不校正")</f>
        <v>不校正</v>
      </c>
      <c r="P311" s="8" t="s">
        <v>1145</v>
      </c>
      <c r="Q311" s="8" t="s">
        <v>159</v>
      </c>
      <c r="R311" s="8" t="s">
        <v>160</v>
      </c>
      <c r="S311" s="8"/>
    </row>
    <row r="312" spans="1:19" ht="48" customHeight="1">
      <c r="A312" s="7" t="s">
        <v>1148</v>
      </c>
      <c r="B312" s="7" t="s">
        <v>1096</v>
      </c>
      <c r="C312" s="7" t="s">
        <v>1097</v>
      </c>
      <c r="D312" s="7" t="s">
        <v>1141</v>
      </c>
      <c r="E312" s="8" t="s">
        <v>81</v>
      </c>
      <c r="F312" s="7" t="s">
        <v>1108</v>
      </c>
      <c r="G312" s="7" t="s">
        <v>1142</v>
      </c>
      <c r="H312" s="9">
        <f t="shared" si="28"/>
        <v>5</v>
      </c>
      <c r="I312" s="7" t="s">
        <v>286</v>
      </c>
      <c r="J312" s="9">
        <f t="shared" si="29"/>
        <v>1</v>
      </c>
      <c r="K312" s="8" t="s">
        <v>1144</v>
      </c>
      <c r="L312" s="8" t="s">
        <v>28</v>
      </c>
      <c r="M312" s="10">
        <v>-0.31622776601683794</v>
      </c>
      <c r="N312" s="10">
        <v>0.44848886103153174</v>
      </c>
      <c r="O312" s="11" t="str">
        <f>IF(AND(N312&lt;0.05,OR(AND(L312="升高改善",M312&gt;0),AND(L312="降低改善",M312&lt;0))),"校正","不校正")</f>
        <v>不校正</v>
      </c>
      <c r="P312" s="8" t="s">
        <v>1149</v>
      </c>
      <c r="Q312" s="8" t="s">
        <v>159</v>
      </c>
      <c r="R312" s="8" t="s">
        <v>160</v>
      </c>
      <c r="S312" s="8"/>
    </row>
    <row r="313" spans="1:19" ht="60" customHeight="1">
      <c r="A313" s="7" t="s">
        <v>1150</v>
      </c>
      <c r="B313" s="7" t="s">
        <v>1096</v>
      </c>
      <c r="C313" s="7" t="s">
        <v>1097</v>
      </c>
      <c r="D313" s="7" t="s">
        <v>1141</v>
      </c>
      <c r="E313" s="8" t="s">
        <v>34</v>
      </c>
      <c r="F313" s="7" t="s">
        <v>1151</v>
      </c>
      <c r="G313" s="7" t="s">
        <v>165</v>
      </c>
      <c r="H313" s="9">
        <f t="shared" si="28"/>
        <v>1</v>
      </c>
      <c r="I313" s="7" t="s">
        <v>1152</v>
      </c>
      <c r="J313" s="9">
        <f t="shared" si="29"/>
        <v>2</v>
      </c>
      <c r="K313" s="8" t="s">
        <v>1144</v>
      </c>
      <c r="L313" s="8" t="s">
        <v>28</v>
      </c>
      <c r="M313" s="20"/>
      <c r="N313" s="20"/>
      <c r="O313" s="21" t="s">
        <v>167</v>
      </c>
      <c r="P313" s="8" t="s">
        <v>1153</v>
      </c>
      <c r="Q313" s="8" t="s">
        <v>159</v>
      </c>
      <c r="R313" s="8" t="s">
        <v>160</v>
      </c>
      <c r="S313" s="8" t="s">
        <v>169</v>
      </c>
    </row>
    <row r="314" spans="1:19" ht="60" customHeight="1">
      <c r="A314" s="7" t="s">
        <v>1154</v>
      </c>
      <c r="B314" s="7" t="s">
        <v>1096</v>
      </c>
      <c r="C314" s="7" t="s">
        <v>1097</v>
      </c>
      <c r="D314" s="7" t="s">
        <v>1141</v>
      </c>
      <c r="E314" s="8" t="s">
        <v>34</v>
      </c>
      <c r="F314" s="7" t="s">
        <v>1155</v>
      </c>
      <c r="G314" s="7" t="s">
        <v>1156</v>
      </c>
      <c r="H314" s="9">
        <f t="shared" si="28"/>
        <v>1</v>
      </c>
      <c r="I314" s="7" t="s">
        <v>1157</v>
      </c>
      <c r="J314" s="9">
        <f t="shared" si="29"/>
        <v>4</v>
      </c>
      <c r="K314" s="8" t="s">
        <v>1144</v>
      </c>
      <c r="L314" s="8" t="s">
        <v>28</v>
      </c>
      <c r="M314" s="20"/>
      <c r="N314" s="20"/>
      <c r="O314" s="21" t="s">
        <v>167</v>
      </c>
      <c r="P314" s="8" t="s">
        <v>1153</v>
      </c>
      <c r="Q314" s="8" t="s">
        <v>159</v>
      </c>
      <c r="R314" s="8" t="s">
        <v>160</v>
      </c>
      <c r="S314" s="8" t="s">
        <v>169</v>
      </c>
    </row>
    <row r="315" spans="1:19" ht="48" customHeight="1">
      <c r="A315" s="7" t="s">
        <v>1158</v>
      </c>
      <c r="B315" s="7" t="s">
        <v>1096</v>
      </c>
      <c r="C315" s="7" t="s">
        <v>1097</v>
      </c>
      <c r="D315" s="7" t="s">
        <v>1141</v>
      </c>
      <c r="E315" s="8" t="s">
        <v>34</v>
      </c>
      <c r="F315" s="7" t="s">
        <v>1159</v>
      </c>
      <c r="G315" s="7" t="s">
        <v>165</v>
      </c>
      <c r="H315" s="9">
        <f t="shared" si="28"/>
        <v>1</v>
      </c>
      <c r="I315" s="7" t="s">
        <v>1160</v>
      </c>
      <c r="J315" s="9">
        <f t="shared" si="29"/>
        <v>1</v>
      </c>
      <c r="K315" s="8" t="s">
        <v>1144</v>
      </c>
      <c r="L315" s="8" t="s">
        <v>28</v>
      </c>
      <c r="M315" s="20"/>
      <c r="N315" s="20"/>
      <c r="O315" s="21" t="s">
        <v>167</v>
      </c>
      <c r="P315" s="8" t="s">
        <v>1161</v>
      </c>
      <c r="Q315" s="8" t="s">
        <v>159</v>
      </c>
      <c r="R315" s="8" t="s">
        <v>160</v>
      </c>
      <c r="S315" s="8" t="s">
        <v>169</v>
      </c>
    </row>
    <row r="316" spans="1:19" ht="60" customHeight="1">
      <c r="A316" s="7" t="s">
        <v>1162</v>
      </c>
      <c r="B316" s="7" t="s">
        <v>1096</v>
      </c>
      <c r="C316" s="7" t="s">
        <v>1097</v>
      </c>
      <c r="D316" s="7" t="s">
        <v>1163</v>
      </c>
      <c r="E316" s="8" t="s">
        <v>23</v>
      </c>
      <c r="F316" s="7" t="s">
        <v>1099</v>
      </c>
      <c r="G316" s="7" t="s">
        <v>1164</v>
      </c>
      <c r="H316" s="9">
        <f t="shared" si="28"/>
        <v>5</v>
      </c>
      <c r="I316" s="7" t="s">
        <v>1165</v>
      </c>
      <c r="J316" s="9">
        <f t="shared" si="29"/>
        <v>9</v>
      </c>
      <c r="K316" s="8" t="s">
        <v>1144</v>
      </c>
      <c r="L316" s="8" t="s">
        <v>28</v>
      </c>
      <c r="M316" s="10">
        <v>-0.44721359549995793</v>
      </c>
      <c r="N316" s="10">
        <v>0.29626987148428641</v>
      </c>
      <c r="O316" s="11" t="str">
        <f>IF(AND(N316&lt;0.05,OR(AND(L316="升高改善",M316&gt;0),AND(L316="降低改善",M316&lt;0))),"校正","不校正")</f>
        <v>不校正</v>
      </c>
      <c r="P316" s="8" t="s">
        <v>1166</v>
      </c>
      <c r="Q316" s="8" t="s">
        <v>159</v>
      </c>
      <c r="R316" s="8" t="s">
        <v>160</v>
      </c>
      <c r="S316" s="8"/>
    </row>
    <row r="317" spans="1:19" ht="60" customHeight="1">
      <c r="A317" s="7" t="s">
        <v>1167</v>
      </c>
      <c r="B317" s="7" t="s">
        <v>1096</v>
      </c>
      <c r="C317" s="7" t="s">
        <v>1097</v>
      </c>
      <c r="D317" s="7" t="s">
        <v>1163</v>
      </c>
      <c r="E317" s="8" t="s">
        <v>23</v>
      </c>
      <c r="F317" s="7" t="s">
        <v>1105</v>
      </c>
      <c r="G317" s="7" t="s">
        <v>1168</v>
      </c>
      <c r="H317" s="9">
        <f t="shared" si="28"/>
        <v>3</v>
      </c>
      <c r="I317" s="7" t="s">
        <v>1169</v>
      </c>
      <c r="J317" s="9">
        <f t="shared" si="29"/>
        <v>7</v>
      </c>
      <c r="K317" s="8" t="s">
        <v>1144</v>
      </c>
      <c r="L317" s="8" t="s">
        <v>28</v>
      </c>
      <c r="M317" s="20"/>
      <c r="N317" s="20"/>
      <c r="O317" s="21" t="s">
        <v>190</v>
      </c>
      <c r="P317" s="8" t="s">
        <v>1166</v>
      </c>
      <c r="Q317" s="8" t="s">
        <v>159</v>
      </c>
      <c r="R317" s="8" t="s">
        <v>160</v>
      </c>
      <c r="S317" s="8" t="s">
        <v>192</v>
      </c>
    </row>
    <row r="318" spans="1:19" ht="48" customHeight="1">
      <c r="A318" s="7" t="s">
        <v>1170</v>
      </c>
      <c r="B318" s="7" t="s">
        <v>1096</v>
      </c>
      <c r="C318" s="7" t="s">
        <v>1097</v>
      </c>
      <c r="D318" s="7" t="s">
        <v>1163</v>
      </c>
      <c r="E318" s="8" t="s">
        <v>81</v>
      </c>
      <c r="F318" s="7" t="s">
        <v>1108</v>
      </c>
      <c r="G318" s="7" t="s">
        <v>1164</v>
      </c>
      <c r="H318" s="9">
        <f t="shared" si="28"/>
        <v>5</v>
      </c>
      <c r="I318" s="7" t="s">
        <v>212</v>
      </c>
      <c r="J318" s="9">
        <f t="shared" si="29"/>
        <v>1</v>
      </c>
      <c r="K318" s="8" t="s">
        <v>1144</v>
      </c>
      <c r="L318" s="8" t="s">
        <v>28</v>
      </c>
      <c r="M318" s="10">
        <v>-0.44721359549995793</v>
      </c>
      <c r="N318" s="10">
        <v>0.29626987148428641</v>
      </c>
      <c r="O318" s="11" t="str">
        <f>IF(AND(N318&lt;0.05,OR(AND(L318="升高改善",M318&gt;0),AND(L318="降低改善",M318&lt;0))),"校正","不校正")</f>
        <v>不校正</v>
      </c>
      <c r="P318" s="8" t="s">
        <v>1171</v>
      </c>
      <c r="Q318" s="8" t="s">
        <v>159</v>
      </c>
      <c r="R318" s="8" t="s">
        <v>160</v>
      </c>
      <c r="S318" s="8"/>
    </row>
    <row r="319" spans="1:19" ht="60" customHeight="1">
      <c r="A319" s="7" t="s">
        <v>1172</v>
      </c>
      <c r="B319" s="7" t="s">
        <v>1096</v>
      </c>
      <c r="C319" s="7" t="s">
        <v>1097</v>
      </c>
      <c r="D319" s="7" t="s">
        <v>1163</v>
      </c>
      <c r="E319" s="8" t="s">
        <v>34</v>
      </c>
      <c r="F319" s="7" t="s">
        <v>1151</v>
      </c>
      <c r="G319" s="7" t="s">
        <v>165</v>
      </c>
      <c r="H319" s="9">
        <f t="shared" si="28"/>
        <v>1</v>
      </c>
      <c r="I319" s="7" t="s">
        <v>1173</v>
      </c>
      <c r="J319" s="9">
        <f t="shared" si="29"/>
        <v>2</v>
      </c>
      <c r="K319" s="8" t="s">
        <v>1144</v>
      </c>
      <c r="L319" s="8" t="s">
        <v>28</v>
      </c>
      <c r="M319" s="20"/>
      <c r="N319" s="20"/>
      <c r="O319" s="21" t="s">
        <v>167</v>
      </c>
      <c r="P319" s="8" t="s">
        <v>1174</v>
      </c>
      <c r="Q319" s="8" t="s">
        <v>159</v>
      </c>
      <c r="R319" s="8" t="s">
        <v>160</v>
      </c>
      <c r="S319" s="8" t="s">
        <v>169</v>
      </c>
    </row>
    <row r="320" spans="1:19" ht="60" customHeight="1">
      <c r="A320" s="7" t="s">
        <v>1175</v>
      </c>
      <c r="B320" s="7" t="s">
        <v>1096</v>
      </c>
      <c r="C320" s="7" t="s">
        <v>1097</v>
      </c>
      <c r="D320" s="7" t="s">
        <v>1163</v>
      </c>
      <c r="E320" s="8" t="s">
        <v>34</v>
      </c>
      <c r="F320" s="7" t="s">
        <v>1155</v>
      </c>
      <c r="G320" s="7" t="s">
        <v>1156</v>
      </c>
      <c r="H320" s="9">
        <f t="shared" si="28"/>
        <v>1</v>
      </c>
      <c r="I320" s="7" t="s">
        <v>1176</v>
      </c>
      <c r="J320" s="9">
        <f t="shared" si="29"/>
        <v>4</v>
      </c>
      <c r="K320" s="8" t="s">
        <v>1144</v>
      </c>
      <c r="L320" s="8" t="s">
        <v>28</v>
      </c>
      <c r="M320" s="20"/>
      <c r="N320" s="20"/>
      <c r="O320" s="21" t="s">
        <v>167</v>
      </c>
      <c r="P320" s="8" t="s">
        <v>1174</v>
      </c>
      <c r="Q320" s="8" t="s">
        <v>159</v>
      </c>
      <c r="R320" s="8" t="s">
        <v>160</v>
      </c>
      <c r="S320" s="8" t="s">
        <v>169</v>
      </c>
    </row>
    <row r="321" spans="1:19" ht="48" customHeight="1">
      <c r="A321" s="7" t="s">
        <v>1177</v>
      </c>
      <c r="B321" s="7" t="s">
        <v>1096</v>
      </c>
      <c r="C321" s="7" t="s">
        <v>1097</v>
      </c>
      <c r="D321" s="7" t="s">
        <v>1163</v>
      </c>
      <c r="E321" s="8" t="s">
        <v>34</v>
      </c>
      <c r="F321" s="7" t="s">
        <v>1159</v>
      </c>
      <c r="G321" s="7" t="s">
        <v>165</v>
      </c>
      <c r="H321" s="9">
        <f t="shared" si="28"/>
        <v>1</v>
      </c>
      <c r="I321" s="7" t="s">
        <v>890</v>
      </c>
      <c r="J321" s="9">
        <f t="shared" si="29"/>
        <v>1</v>
      </c>
      <c r="K321" s="8" t="s">
        <v>1144</v>
      </c>
      <c r="L321" s="8" t="s">
        <v>28</v>
      </c>
      <c r="M321" s="20"/>
      <c r="N321" s="20"/>
      <c r="O321" s="21" t="s">
        <v>167</v>
      </c>
      <c r="P321" s="8" t="s">
        <v>1178</v>
      </c>
      <c r="Q321" s="8" t="s">
        <v>159</v>
      </c>
      <c r="R321" s="8" t="s">
        <v>160</v>
      </c>
      <c r="S321" s="8" t="s">
        <v>169</v>
      </c>
    </row>
    <row r="322" spans="1:19" ht="60" customHeight="1">
      <c r="A322" s="7" t="s">
        <v>1179</v>
      </c>
      <c r="B322" s="7" t="s">
        <v>1096</v>
      </c>
      <c r="C322" s="7" t="s">
        <v>1112</v>
      </c>
      <c r="D322" s="7" t="s">
        <v>1141</v>
      </c>
      <c r="E322" s="8" t="s">
        <v>23</v>
      </c>
      <c r="F322" s="7" t="s">
        <v>1099</v>
      </c>
      <c r="G322" s="7" t="s">
        <v>1180</v>
      </c>
      <c r="H322" s="9">
        <f t="shared" si="28"/>
        <v>8</v>
      </c>
      <c r="I322" s="7" t="s">
        <v>1181</v>
      </c>
      <c r="J322" s="9">
        <f t="shared" si="29"/>
        <v>7</v>
      </c>
      <c r="K322" s="8" t="s">
        <v>1144</v>
      </c>
      <c r="L322" s="8" t="s">
        <v>28</v>
      </c>
      <c r="M322" s="10">
        <v>-0.34156502553198664</v>
      </c>
      <c r="N322" s="10">
        <v>0.29671752632206044</v>
      </c>
      <c r="O322" s="11" t="str">
        <f>IF(AND(N322&lt;0.05,OR(AND(L322="升高改善",M322&gt;0),AND(L322="降低改善",M322&lt;0))),"校正","不校正")</f>
        <v>不校正</v>
      </c>
      <c r="P322" s="8" t="s">
        <v>1182</v>
      </c>
      <c r="Q322" s="8" t="s">
        <v>159</v>
      </c>
      <c r="R322" s="8" t="s">
        <v>160</v>
      </c>
      <c r="S322" s="8"/>
    </row>
    <row r="323" spans="1:19" ht="60" customHeight="1">
      <c r="A323" s="7" t="s">
        <v>1183</v>
      </c>
      <c r="B323" s="7" t="s">
        <v>1096</v>
      </c>
      <c r="C323" s="7" t="s">
        <v>1112</v>
      </c>
      <c r="D323" s="7" t="s">
        <v>1141</v>
      </c>
      <c r="E323" s="8" t="s">
        <v>23</v>
      </c>
      <c r="F323" s="7" t="s">
        <v>1105</v>
      </c>
      <c r="G323" s="7" t="s">
        <v>1184</v>
      </c>
      <c r="H323" s="9">
        <f t="shared" si="28"/>
        <v>3</v>
      </c>
      <c r="I323" s="7" t="s">
        <v>1185</v>
      </c>
      <c r="J323" s="9">
        <f t="shared" si="29"/>
        <v>7</v>
      </c>
      <c r="K323" s="8" t="s">
        <v>1144</v>
      </c>
      <c r="L323" s="8" t="s">
        <v>28</v>
      </c>
      <c r="M323" s="10">
        <v>0</v>
      </c>
      <c r="N323" s="10">
        <v>1</v>
      </c>
      <c r="O323" s="11" t="str">
        <f>IF(AND(N323&lt;0.05,OR(AND(L323="升高改善",M323&gt;0),AND(L323="降低改善",M323&lt;0))),"校正","不校正")</f>
        <v>不校正</v>
      </c>
      <c r="P323" s="8" t="s">
        <v>1182</v>
      </c>
      <c r="Q323" s="8" t="s">
        <v>159</v>
      </c>
      <c r="R323" s="8" t="s">
        <v>160</v>
      </c>
      <c r="S323" s="8"/>
    </row>
    <row r="324" spans="1:19" ht="48" customHeight="1">
      <c r="A324" s="7" t="s">
        <v>1186</v>
      </c>
      <c r="B324" s="7" t="s">
        <v>1096</v>
      </c>
      <c r="C324" s="7" t="s">
        <v>1112</v>
      </c>
      <c r="D324" s="7" t="s">
        <v>1141</v>
      </c>
      <c r="E324" s="8" t="s">
        <v>81</v>
      </c>
      <c r="F324" s="7" t="s">
        <v>1108</v>
      </c>
      <c r="G324" s="7" t="s">
        <v>1180</v>
      </c>
      <c r="H324" s="9">
        <f t="shared" si="28"/>
        <v>8</v>
      </c>
      <c r="I324" s="7" t="s">
        <v>185</v>
      </c>
      <c r="J324" s="9">
        <f t="shared" si="29"/>
        <v>1</v>
      </c>
      <c r="K324" s="8" t="s">
        <v>1144</v>
      </c>
      <c r="L324" s="8" t="s">
        <v>28</v>
      </c>
      <c r="M324" s="10">
        <v>-0.34156502553198664</v>
      </c>
      <c r="N324" s="10">
        <v>0.29671752632206044</v>
      </c>
      <c r="O324" s="11" t="str">
        <f>IF(AND(N324&lt;0.05,OR(AND(L324="升高改善",M324&gt;0),AND(L324="降低改善",M324&lt;0))),"校正","不校正")</f>
        <v>不校正</v>
      </c>
      <c r="P324" s="8" t="s">
        <v>1187</v>
      </c>
      <c r="Q324" s="8" t="s">
        <v>159</v>
      </c>
      <c r="R324" s="8" t="s">
        <v>160</v>
      </c>
      <c r="S324" s="8"/>
    </row>
    <row r="325" spans="1:19" ht="60" customHeight="1">
      <c r="A325" s="7" t="s">
        <v>1188</v>
      </c>
      <c r="B325" s="7" t="s">
        <v>1096</v>
      </c>
      <c r="C325" s="7" t="s">
        <v>1112</v>
      </c>
      <c r="D325" s="7" t="s">
        <v>1141</v>
      </c>
      <c r="E325" s="8" t="s">
        <v>34</v>
      </c>
      <c r="F325" s="7" t="s">
        <v>1151</v>
      </c>
      <c r="G325" s="7" t="s">
        <v>196</v>
      </c>
      <c r="H325" s="9">
        <f t="shared" si="28"/>
        <v>1</v>
      </c>
      <c r="I325" s="7" t="s">
        <v>1189</v>
      </c>
      <c r="J325" s="9">
        <f t="shared" si="29"/>
        <v>2</v>
      </c>
      <c r="K325" s="8" t="s">
        <v>1144</v>
      </c>
      <c r="L325" s="8" t="s">
        <v>28</v>
      </c>
      <c r="M325" s="20"/>
      <c r="N325" s="20"/>
      <c r="O325" s="21" t="s">
        <v>167</v>
      </c>
      <c r="P325" s="8" t="s">
        <v>1190</v>
      </c>
      <c r="Q325" s="8" t="s">
        <v>159</v>
      </c>
      <c r="R325" s="8" t="s">
        <v>160</v>
      </c>
      <c r="S325" s="8" t="s">
        <v>169</v>
      </c>
    </row>
    <row r="326" spans="1:19" ht="60" customHeight="1">
      <c r="A326" s="7" t="s">
        <v>1191</v>
      </c>
      <c r="B326" s="7" t="s">
        <v>1096</v>
      </c>
      <c r="C326" s="7" t="s">
        <v>1112</v>
      </c>
      <c r="D326" s="7" t="s">
        <v>1141</v>
      </c>
      <c r="E326" s="8" t="s">
        <v>34</v>
      </c>
      <c r="F326" s="7" t="s">
        <v>1155</v>
      </c>
      <c r="G326" s="7" t="s">
        <v>200</v>
      </c>
      <c r="H326" s="9">
        <f t="shared" si="28"/>
        <v>1</v>
      </c>
      <c r="I326" s="7" t="s">
        <v>1192</v>
      </c>
      <c r="J326" s="9">
        <f t="shared" si="29"/>
        <v>4</v>
      </c>
      <c r="K326" s="8" t="s">
        <v>1144</v>
      </c>
      <c r="L326" s="8" t="s">
        <v>28</v>
      </c>
      <c r="M326" s="20"/>
      <c r="N326" s="20"/>
      <c r="O326" s="21" t="s">
        <v>167</v>
      </c>
      <c r="P326" s="8" t="s">
        <v>1190</v>
      </c>
      <c r="Q326" s="8" t="s">
        <v>159</v>
      </c>
      <c r="R326" s="8" t="s">
        <v>160</v>
      </c>
      <c r="S326" s="8" t="s">
        <v>169</v>
      </c>
    </row>
    <row r="327" spans="1:19" ht="48" customHeight="1">
      <c r="A327" s="7" t="s">
        <v>1193</v>
      </c>
      <c r="B327" s="7" t="s">
        <v>1096</v>
      </c>
      <c r="C327" s="7" t="s">
        <v>1112</v>
      </c>
      <c r="D327" s="7" t="s">
        <v>1141</v>
      </c>
      <c r="E327" s="8" t="s">
        <v>34</v>
      </c>
      <c r="F327" s="7" t="s">
        <v>1159</v>
      </c>
      <c r="G327" s="7" t="s">
        <v>196</v>
      </c>
      <c r="H327" s="9">
        <f t="shared" si="28"/>
        <v>1</v>
      </c>
      <c r="I327" s="7" t="s">
        <v>212</v>
      </c>
      <c r="J327" s="9">
        <f t="shared" si="29"/>
        <v>1</v>
      </c>
      <c r="K327" s="8" t="s">
        <v>1144</v>
      </c>
      <c r="L327" s="8" t="s">
        <v>28</v>
      </c>
      <c r="M327" s="20"/>
      <c r="N327" s="20"/>
      <c r="O327" s="21" t="s">
        <v>167</v>
      </c>
      <c r="P327" s="8" t="s">
        <v>1194</v>
      </c>
      <c r="Q327" s="8" t="s">
        <v>159</v>
      </c>
      <c r="R327" s="8" t="s">
        <v>160</v>
      </c>
      <c r="S327" s="8" t="s">
        <v>169</v>
      </c>
    </row>
    <row r="328" spans="1:19" ht="60" customHeight="1">
      <c r="A328" s="7" t="s">
        <v>1195</v>
      </c>
      <c r="B328" s="7" t="s">
        <v>1096</v>
      </c>
      <c r="C328" s="7" t="s">
        <v>1112</v>
      </c>
      <c r="D328" s="7" t="s">
        <v>1163</v>
      </c>
      <c r="E328" s="8" t="s">
        <v>23</v>
      </c>
      <c r="F328" s="7" t="s">
        <v>1099</v>
      </c>
      <c r="G328" s="22"/>
      <c r="H328" s="23"/>
      <c r="I328" s="22"/>
      <c r="J328" s="23"/>
      <c r="K328" s="8" t="s">
        <v>1144</v>
      </c>
      <c r="L328" s="8" t="s">
        <v>28</v>
      </c>
      <c r="M328" s="20"/>
      <c r="N328" s="20"/>
      <c r="O328" s="21"/>
      <c r="P328" s="8" t="s">
        <v>1196</v>
      </c>
      <c r="Q328" s="8" t="s">
        <v>159</v>
      </c>
      <c r="R328" s="24" t="s">
        <v>94</v>
      </c>
      <c r="S328" s="8" t="s">
        <v>1197</v>
      </c>
    </row>
    <row r="329" spans="1:19" ht="60" customHeight="1">
      <c r="A329" s="7" t="s">
        <v>1198</v>
      </c>
      <c r="B329" s="7" t="s">
        <v>1096</v>
      </c>
      <c r="C329" s="7" t="s">
        <v>1112</v>
      </c>
      <c r="D329" s="7" t="s">
        <v>1163</v>
      </c>
      <c r="E329" s="8" t="s">
        <v>23</v>
      </c>
      <c r="F329" s="7" t="s">
        <v>1105</v>
      </c>
      <c r="G329" s="7" t="s">
        <v>1184</v>
      </c>
      <c r="H329" s="9">
        <f>IF(LEN(G329)=0,"",IF(ISNUMBER(SEARCH(",",G329)),LEN(SUBSTITUTE(G329,",","xx"))-LEN(G329)+1,1))</f>
        <v>3</v>
      </c>
      <c r="I329" s="7" t="s">
        <v>1199</v>
      </c>
      <c r="J329" s="9">
        <f>IF(LEN(I329)=0,"",IF(ISNUMBER(SEARCH(",",I329)),LEN(SUBSTITUTE(I329,",","xx"))-LEN(I329)+1,1))</f>
        <v>7</v>
      </c>
      <c r="K329" s="8" t="s">
        <v>1144</v>
      </c>
      <c r="L329" s="8" t="s">
        <v>28</v>
      </c>
      <c r="M329" s="10">
        <v>0</v>
      </c>
      <c r="N329" s="10">
        <v>1</v>
      </c>
      <c r="O329" s="11" t="str">
        <f>IF(AND(N329&lt;0.05,OR(AND(L329="升高改善",M329&gt;0),AND(L329="降低改善",M329&lt;0))),"校正","不校正")</f>
        <v>不校正</v>
      </c>
      <c r="P329" s="8" t="s">
        <v>1196</v>
      </c>
      <c r="Q329" s="8" t="s">
        <v>159</v>
      </c>
      <c r="R329" s="8" t="s">
        <v>160</v>
      </c>
      <c r="S329" s="8"/>
    </row>
    <row r="330" spans="1:19" ht="48" customHeight="1">
      <c r="A330" s="7" t="s">
        <v>1200</v>
      </c>
      <c r="B330" s="7" t="s">
        <v>1096</v>
      </c>
      <c r="C330" s="7" t="s">
        <v>1112</v>
      </c>
      <c r="D330" s="7" t="s">
        <v>1163</v>
      </c>
      <c r="E330" s="8" t="s">
        <v>81</v>
      </c>
      <c r="F330" s="7" t="s">
        <v>1108</v>
      </c>
      <c r="G330" s="22"/>
      <c r="H330" s="23"/>
      <c r="I330" s="22"/>
      <c r="J330" s="23"/>
      <c r="K330" s="8" t="s">
        <v>1144</v>
      </c>
      <c r="L330" s="8" t="s">
        <v>28</v>
      </c>
      <c r="M330" s="20"/>
      <c r="N330" s="20"/>
      <c r="O330" s="21"/>
      <c r="P330" s="8" t="s">
        <v>1201</v>
      </c>
      <c r="Q330" s="8" t="s">
        <v>159</v>
      </c>
      <c r="R330" s="24" t="s">
        <v>94</v>
      </c>
      <c r="S330" s="8" t="s">
        <v>1197</v>
      </c>
    </row>
    <row r="331" spans="1:19" ht="60" customHeight="1">
      <c r="A331" s="7" t="s">
        <v>1202</v>
      </c>
      <c r="B331" s="7" t="s">
        <v>1096</v>
      </c>
      <c r="C331" s="7" t="s">
        <v>1112</v>
      </c>
      <c r="D331" s="7" t="s">
        <v>1163</v>
      </c>
      <c r="E331" s="8" t="s">
        <v>34</v>
      </c>
      <c r="F331" s="7" t="s">
        <v>1151</v>
      </c>
      <c r="G331" s="7" t="s">
        <v>196</v>
      </c>
      <c r="H331" s="9">
        <f t="shared" ref="H331:H356" si="30">IF(LEN(G331)=0,"",IF(ISNUMBER(SEARCH(",",G331)),LEN(SUBSTITUTE(G331,",","xx"))-LEN(G331)+1,1))</f>
        <v>1</v>
      </c>
      <c r="I331" s="7" t="s">
        <v>1203</v>
      </c>
      <c r="J331" s="9">
        <f t="shared" ref="J331:J356" si="31">IF(LEN(I331)=0,"",IF(ISNUMBER(SEARCH(",",I331)),LEN(SUBSTITUTE(I331,",","xx"))-LEN(I331)+1,1))</f>
        <v>2</v>
      </c>
      <c r="K331" s="8" t="s">
        <v>1144</v>
      </c>
      <c r="L331" s="8" t="s">
        <v>28</v>
      </c>
      <c r="M331" s="20"/>
      <c r="N331" s="20"/>
      <c r="O331" s="21" t="s">
        <v>167</v>
      </c>
      <c r="P331" s="8" t="s">
        <v>1204</v>
      </c>
      <c r="Q331" s="8" t="s">
        <v>159</v>
      </c>
      <c r="R331" s="8" t="s">
        <v>160</v>
      </c>
      <c r="S331" s="8" t="s">
        <v>169</v>
      </c>
    </row>
    <row r="332" spans="1:19" ht="60" customHeight="1">
      <c r="A332" s="7" t="s">
        <v>1205</v>
      </c>
      <c r="B332" s="7" t="s">
        <v>1096</v>
      </c>
      <c r="C332" s="7" t="s">
        <v>1112</v>
      </c>
      <c r="D332" s="7" t="s">
        <v>1163</v>
      </c>
      <c r="E332" s="8" t="s">
        <v>34</v>
      </c>
      <c r="F332" s="7" t="s">
        <v>1155</v>
      </c>
      <c r="G332" s="7" t="s">
        <v>1156</v>
      </c>
      <c r="H332" s="9">
        <f t="shared" si="30"/>
        <v>1</v>
      </c>
      <c r="I332" s="7" t="s">
        <v>1206</v>
      </c>
      <c r="J332" s="9">
        <f t="shared" si="31"/>
        <v>4</v>
      </c>
      <c r="K332" s="8" t="s">
        <v>1144</v>
      </c>
      <c r="L332" s="8" t="s">
        <v>28</v>
      </c>
      <c r="M332" s="20"/>
      <c r="N332" s="20"/>
      <c r="O332" s="21" t="s">
        <v>167</v>
      </c>
      <c r="P332" s="8" t="s">
        <v>1204</v>
      </c>
      <c r="Q332" s="8" t="s">
        <v>159</v>
      </c>
      <c r="R332" s="8" t="s">
        <v>160</v>
      </c>
      <c r="S332" s="8" t="s">
        <v>169</v>
      </c>
    </row>
    <row r="333" spans="1:19" ht="48" customHeight="1">
      <c r="A333" s="7" t="s">
        <v>1207</v>
      </c>
      <c r="B333" s="7" t="s">
        <v>1096</v>
      </c>
      <c r="C333" s="7" t="s">
        <v>1112</v>
      </c>
      <c r="D333" s="7" t="s">
        <v>1163</v>
      </c>
      <c r="E333" s="8" t="s">
        <v>34</v>
      </c>
      <c r="F333" s="7" t="s">
        <v>1159</v>
      </c>
      <c r="G333" s="7" t="s">
        <v>196</v>
      </c>
      <c r="H333" s="9">
        <f t="shared" si="30"/>
        <v>1</v>
      </c>
      <c r="I333" s="7" t="s">
        <v>1208</v>
      </c>
      <c r="J333" s="9">
        <f t="shared" si="31"/>
        <v>1</v>
      </c>
      <c r="K333" s="8" t="s">
        <v>1144</v>
      </c>
      <c r="L333" s="8" t="s">
        <v>28</v>
      </c>
      <c r="M333" s="20"/>
      <c r="N333" s="20"/>
      <c r="O333" s="21" t="s">
        <v>167</v>
      </c>
      <c r="P333" s="8" t="s">
        <v>1209</v>
      </c>
      <c r="Q333" s="8" t="s">
        <v>159</v>
      </c>
      <c r="R333" s="8" t="s">
        <v>160</v>
      </c>
      <c r="S333" s="8" t="s">
        <v>169</v>
      </c>
    </row>
    <row r="334" spans="1:19" ht="60" customHeight="1">
      <c r="A334" s="7" t="s">
        <v>1210</v>
      </c>
      <c r="B334" s="7" t="s">
        <v>1096</v>
      </c>
      <c r="C334" s="7" t="s">
        <v>1122</v>
      </c>
      <c r="D334" s="7" t="s">
        <v>1141</v>
      </c>
      <c r="E334" s="8" t="s">
        <v>23</v>
      </c>
      <c r="F334" s="7" t="s">
        <v>1099</v>
      </c>
      <c r="G334" s="7" t="s">
        <v>1211</v>
      </c>
      <c r="H334" s="9">
        <f t="shared" si="30"/>
        <v>14</v>
      </c>
      <c r="I334" s="7" t="s">
        <v>1212</v>
      </c>
      <c r="J334" s="9">
        <f t="shared" si="31"/>
        <v>8</v>
      </c>
      <c r="K334" s="8" t="s">
        <v>1144</v>
      </c>
      <c r="L334" s="8" t="s">
        <v>28</v>
      </c>
      <c r="M334" s="20"/>
      <c r="N334" s="20"/>
      <c r="O334" s="21" t="s">
        <v>190</v>
      </c>
      <c r="P334" s="8" t="s">
        <v>1213</v>
      </c>
      <c r="Q334" s="8" t="s">
        <v>159</v>
      </c>
      <c r="R334" s="8" t="s">
        <v>160</v>
      </c>
      <c r="S334" s="8" t="s">
        <v>192</v>
      </c>
    </row>
    <row r="335" spans="1:19" ht="60" customHeight="1">
      <c r="A335" s="7" t="s">
        <v>1214</v>
      </c>
      <c r="B335" s="7" t="s">
        <v>1096</v>
      </c>
      <c r="C335" s="7" t="s">
        <v>1122</v>
      </c>
      <c r="D335" s="7" t="s">
        <v>1141</v>
      </c>
      <c r="E335" s="8" t="s">
        <v>23</v>
      </c>
      <c r="F335" s="7" t="s">
        <v>1105</v>
      </c>
      <c r="G335" s="7" t="s">
        <v>328</v>
      </c>
      <c r="H335" s="9">
        <f t="shared" si="30"/>
        <v>3</v>
      </c>
      <c r="I335" s="7" t="s">
        <v>1215</v>
      </c>
      <c r="J335" s="9">
        <f t="shared" si="31"/>
        <v>5</v>
      </c>
      <c r="K335" s="8" t="s">
        <v>1144</v>
      </c>
      <c r="L335" s="8" t="s">
        <v>28</v>
      </c>
      <c r="M335" s="20"/>
      <c r="N335" s="20"/>
      <c r="O335" s="21" t="s">
        <v>190</v>
      </c>
      <c r="P335" s="8" t="s">
        <v>1213</v>
      </c>
      <c r="Q335" s="8" t="s">
        <v>159</v>
      </c>
      <c r="R335" s="8" t="s">
        <v>160</v>
      </c>
      <c r="S335" s="8" t="s">
        <v>192</v>
      </c>
    </row>
    <row r="336" spans="1:19" ht="48" customHeight="1">
      <c r="A336" s="7" t="s">
        <v>1216</v>
      </c>
      <c r="B336" s="7" t="s">
        <v>1096</v>
      </c>
      <c r="C336" s="7" t="s">
        <v>1122</v>
      </c>
      <c r="D336" s="7" t="s">
        <v>1141</v>
      </c>
      <c r="E336" s="8" t="s">
        <v>81</v>
      </c>
      <c r="F336" s="7" t="s">
        <v>1108</v>
      </c>
      <c r="G336" s="7" t="s">
        <v>1211</v>
      </c>
      <c r="H336" s="9">
        <f t="shared" si="30"/>
        <v>14</v>
      </c>
      <c r="I336" s="7" t="s">
        <v>172</v>
      </c>
      <c r="J336" s="9">
        <f t="shared" si="31"/>
        <v>1</v>
      </c>
      <c r="K336" s="8" t="s">
        <v>1144</v>
      </c>
      <c r="L336" s="8" t="s">
        <v>28</v>
      </c>
      <c r="M336" s="20"/>
      <c r="N336" s="20"/>
      <c r="O336" s="21" t="s">
        <v>190</v>
      </c>
      <c r="P336" s="8" t="s">
        <v>1217</v>
      </c>
      <c r="Q336" s="8" t="s">
        <v>159</v>
      </c>
      <c r="R336" s="8" t="s">
        <v>160</v>
      </c>
      <c r="S336" s="8" t="s">
        <v>192</v>
      </c>
    </row>
    <row r="337" spans="1:19" ht="60" customHeight="1">
      <c r="A337" s="7" t="s">
        <v>1218</v>
      </c>
      <c r="B337" s="7" t="s">
        <v>1096</v>
      </c>
      <c r="C337" s="7" t="s">
        <v>1122</v>
      </c>
      <c r="D337" s="7" t="s">
        <v>1141</v>
      </c>
      <c r="E337" s="8" t="s">
        <v>34</v>
      </c>
      <c r="F337" s="7" t="s">
        <v>1151</v>
      </c>
      <c r="G337" s="7" t="s">
        <v>196</v>
      </c>
      <c r="H337" s="9">
        <f t="shared" si="30"/>
        <v>1</v>
      </c>
      <c r="I337" s="7" t="s">
        <v>1219</v>
      </c>
      <c r="J337" s="9">
        <f t="shared" si="31"/>
        <v>2</v>
      </c>
      <c r="K337" s="8" t="s">
        <v>1144</v>
      </c>
      <c r="L337" s="8" t="s">
        <v>28</v>
      </c>
      <c r="M337" s="20"/>
      <c r="N337" s="20"/>
      <c r="O337" s="21" t="s">
        <v>167</v>
      </c>
      <c r="P337" s="8" t="s">
        <v>1220</v>
      </c>
      <c r="Q337" s="8" t="s">
        <v>159</v>
      </c>
      <c r="R337" s="8" t="s">
        <v>160</v>
      </c>
      <c r="S337" s="8" t="s">
        <v>169</v>
      </c>
    </row>
    <row r="338" spans="1:19" ht="60" customHeight="1">
      <c r="A338" s="7" t="s">
        <v>1221</v>
      </c>
      <c r="B338" s="7" t="s">
        <v>1096</v>
      </c>
      <c r="C338" s="7" t="s">
        <v>1122</v>
      </c>
      <c r="D338" s="7" t="s">
        <v>1141</v>
      </c>
      <c r="E338" s="8" t="s">
        <v>34</v>
      </c>
      <c r="F338" s="7" t="s">
        <v>1155</v>
      </c>
      <c r="G338" s="7" t="s">
        <v>196</v>
      </c>
      <c r="H338" s="9">
        <f t="shared" si="30"/>
        <v>1</v>
      </c>
      <c r="I338" s="7" t="s">
        <v>1222</v>
      </c>
      <c r="J338" s="9">
        <f t="shared" si="31"/>
        <v>2</v>
      </c>
      <c r="K338" s="8" t="s">
        <v>1144</v>
      </c>
      <c r="L338" s="8" t="s">
        <v>28</v>
      </c>
      <c r="M338" s="20"/>
      <c r="N338" s="20"/>
      <c r="O338" s="21" t="s">
        <v>167</v>
      </c>
      <c r="P338" s="8" t="s">
        <v>1220</v>
      </c>
      <c r="Q338" s="8" t="s">
        <v>159</v>
      </c>
      <c r="R338" s="8" t="s">
        <v>160</v>
      </c>
      <c r="S338" s="8" t="s">
        <v>169</v>
      </c>
    </row>
    <row r="339" spans="1:19" ht="60" customHeight="1">
      <c r="A339" s="7" t="s">
        <v>1223</v>
      </c>
      <c r="B339" s="7" t="s">
        <v>1096</v>
      </c>
      <c r="C339" s="7" t="s">
        <v>1122</v>
      </c>
      <c r="D339" s="7" t="s">
        <v>1163</v>
      </c>
      <c r="E339" s="8" t="s">
        <v>23</v>
      </c>
      <c r="F339" s="7" t="s">
        <v>1099</v>
      </c>
      <c r="G339" s="7" t="s">
        <v>1211</v>
      </c>
      <c r="H339" s="9">
        <f t="shared" si="30"/>
        <v>14</v>
      </c>
      <c r="I339" s="7" t="s">
        <v>1224</v>
      </c>
      <c r="J339" s="9">
        <f t="shared" si="31"/>
        <v>8</v>
      </c>
      <c r="K339" s="8" t="s">
        <v>1144</v>
      </c>
      <c r="L339" s="8" t="s">
        <v>28</v>
      </c>
      <c r="M339" s="20"/>
      <c r="N339" s="20"/>
      <c r="O339" s="21" t="s">
        <v>190</v>
      </c>
      <c r="P339" s="8" t="s">
        <v>1225</v>
      </c>
      <c r="Q339" s="8" t="s">
        <v>159</v>
      </c>
      <c r="R339" s="8" t="s">
        <v>160</v>
      </c>
      <c r="S339" s="8" t="s">
        <v>192</v>
      </c>
    </row>
    <row r="340" spans="1:19" ht="60" customHeight="1">
      <c r="A340" s="7" t="s">
        <v>1226</v>
      </c>
      <c r="B340" s="7" t="s">
        <v>1096</v>
      </c>
      <c r="C340" s="7" t="s">
        <v>1122</v>
      </c>
      <c r="D340" s="7" t="s">
        <v>1163</v>
      </c>
      <c r="E340" s="8" t="s">
        <v>23</v>
      </c>
      <c r="F340" s="7" t="s">
        <v>1105</v>
      </c>
      <c r="G340" s="7" t="s">
        <v>328</v>
      </c>
      <c r="H340" s="9">
        <f t="shared" si="30"/>
        <v>3</v>
      </c>
      <c r="I340" s="7" t="s">
        <v>1227</v>
      </c>
      <c r="J340" s="9">
        <f t="shared" si="31"/>
        <v>5</v>
      </c>
      <c r="K340" s="8" t="s">
        <v>1144</v>
      </c>
      <c r="L340" s="8" t="s">
        <v>28</v>
      </c>
      <c r="M340" s="20"/>
      <c r="N340" s="20"/>
      <c r="O340" s="21" t="s">
        <v>190</v>
      </c>
      <c r="P340" s="8" t="s">
        <v>1225</v>
      </c>
      <c r="Q340" s="8" t="s">
        <v>159</v>
      </c>
      <c r="R340" s="8" t="s">
        <v>160</v>
      </c>
      <c r="S340" s="8" t="s">
        <v>192</v>
      </c>
    </row>
    <row r="341" spans="1:19" ht="48" customHeight="1">
      <c r="A341" s="7" t="s">
        <v>1228</v>
      </c>
      <c r="B341" s="7" t="s">
        <v>1096</v>
      </c>
      <c r="C341" s="7" t="s">
        <v>1122</v>
      </c>
      <c r="D341" s="7" t="s">
        <v>1163</v>
      </c>
      <c r="E341" s="8" t="s">
        <v>81</v>
      </c>
      <c r="F341" s="7" t="s">
        <v>1108</v>
      </c>
      <c r="G341" s="7" t="s">
        <v>1211</v>
      </c>
      <c r="H341" s="9">
        <f t="shared" si="30"/>
        <v>14</v>
      </c>
      <c r="I341" s="7" t="s">
        <v>181</v>
      </c>
      <c r="J341" s="9">
        <f t="shared" si="31"/>
        <v>1</v>
      </c>
      <c r="K341" s="8" t="s">
        <v>1144</v>
      </c>
      <c r="L341" s="8" t="s">
        <v>28</v>
      </c>
      <c r="M341" s="20"/>
      <c r="N341" s="20"/>
      <c r="O341" s="21" t="s">
        <v>190</v>
      </c>
      <c r="P341" s="8" t="s">
        <v>1229</v>
      </c>
      <c r="Q341" s="8" t="s">
        <v>159</v>
      </c>
      <c r="R341" s="8" t="s">
        <v>160</v>
      </c>
      <c r="S341" s="8" t="s">
        <v>192</v>
      </c>
    </row>
    <row r="342" spans="1:19" ht="60" customHeight="1">
      <c r="A342" s="7" t="s">
        <v>1230</v>
      </c>
      <c r="B342" s="7" t="s">
        <v>1096</v>
      </c>
      <c r="C342" s="7" t="s">
        <v>1122</v>
      </c>
      <c r="D342" s="7" t="s">
        <v>1163</v>
      </c>
      <c r="E342" s="8" t="s">
        <v>34</v>
      </c>
      <c r="F342" s="7" t="s">
        <v>1151</v>
      </c>
      <c r="G342" s="7" t="s">
        <v>196</v>
      </c>
      <c r="H342" s="9">
        <f t="shared" si="30"/>
        <v>1</v>
      </c>
      <c r="I342" s="7" t="s">
        <v>1231</v>
      </c>
      <c r="J342" s="9">
        <f t="shared" si="31"/>
        <v>2</v>
      </c>
      <c r="K342" s="8" t="s">
        <v>1144</v>
      </c>
      <c r="L342" s="8" t="s">
        <v>28</v>
      </c>
      <c r="M342" s="20"/>
      <c r="N342" s="20"/>
      <c r="O342" s="21" t="s">
        <v>167</v>
      </c>
      <c r="P342" s="8" t="s">
        <v>1232</v>
      </c>
      <c r="Q342" s="8" t="s">
        <v>159</v>
      </c>
      <c r="R342" s="8" t="s">
        <v>160</v>
      </c>
      <c r="S342" s="8" t="s">
        <v>169</v>
      </c>
    </row>
    <row r="343" spans="1:19" ht="60" customHeight="1">
      <c r="A343" s="7" t="s">
        <v>1233</v>
      </c>
      <c r="B343" s="7" t="s">
        <v>1096</v>
      </c>
      <c r="C343" s="7" t="s">
        <v>1122</v>
      </c>
      <c r="D343" s="7" t="s">
        <v>1163</v>
      </c>
      <c r="E343" s="8" t="s">
        <v>34</v>
      </c>
      <c r="F343" s="7" t="s">
        <v>1155</v>
      </c>
      <c r="G343" s="7" t="s">
        <v>196</v>
      </c>
      <c r="H343" s="9">
        <f t="shared" si="30"/>
        <v>1</v>
      </c>
      <c r="I343" s="7" t="s">
        <v>1234</v>
      </c>
      <c r="J343" s="9">
        <f t="shared" si="31"/>
        <v>2</v>
      </c>
      <c r="K343" s="8" t="s">
        <v>1144</v>
      </c>
      <c r="L343" s="8" t="s">
        <v>28</v>
      </c>
      <c r="M343" s="20"/>
      <c r="N343" s="20"/>
      <c r="O343" s="21" t="s">
        <v>167</v>
      </c>
      <c r="P343" s="8" t="s">
        <v>1232</v>
      </c>
      <c r="Q343" s="8" t="s">
        <v>159</v>
      </c>
      <c r="R343" s="8" t="s">
        <v>160</v>
      </c>
      <c r="S343" s="8" t="s">
        <v>169</v>
      </c>
    </row>
    <row r="344" spans="1:19" ht="48" customHeight="1">
      <c r="A344" s="7" t="s">
        <v>1235</v>
      </c>
      <c r="B344" s="7" t="s">
        <v>1096</v>
      </c>
      <c r="C344" s="7" t="s">
        <v>1122</v>
      </c>
      <c r="D344" s="7" t="s">
        <v>1163</v>
      </c>
      <c r="E344" s="8" t="s">
        <v>34</v>
      </c>
      <c r="F344" s="7" t="s">
        <v>1159</v>
      </c>
      <c r="G344" s="7" t="s">
        <v>196</v>
      </c>
      <c r="H344" s="9">
        <f t="shared" si="30"/>
        <v>1</v>
      </c>
      <c r="I344" s="7" t="s">
        <v>1236</v>
      </c>
      <c r="J344" s="9">
        <f t="shared" si="31"/>
        <v>1</v>
      </c>
      <c r="K344" s="8" t="s">
        <v>1144</v>
      </c>
      <c r="L344" s="8" t="s">
        <v>28</v>
      </c>
      <c r="M344" s="20"/>
      <c r="N344" s="20"/>
      <c r="O344" s="21" t="s">
        <v>167</v>
      </c>
      <c r="P344" s="8" t="s">
        <v>1237</v>
      </c>
      <c r="Q344" s="8" t="s">
        <v>159</v>
      </c>
      <c r="R344" s="8" t="s">
        <v>160</v>
      </c>
      <c r="S344" s="8" t="s">
        <v>169</v>
      </c>
    </row>
    <row r="345" spans="1:19" ht="60" customHeight="1">
      <c r="A345" s="7" t="s">
        <v>1238</v>
      </c>
      <c r="B345" s="7" t="s">
        <v>1096</v>
      </c>
      <c r="C345" s="7" t="s">
        <v>1131</v>
      </c>
      <c r="D345" s="7" t="s">
        <v>1141</v>
      </c>
      <c r="E345" s="8" t="s">
        <v>23</v>
      </c>
      <c r="F345" s="7" t="s">
        <v>1099</v>
      </c>
      <c r="G345" s="7" t="s">
        <v>1239</v>
      </c>
      <c r="H345" s="9">
        <f t="shared" si="30"/>
        <v>19</v>
      </c>
      <c r="I345" s="7" t="s">
        <v>1240</v>
      </c>
      <c r="J345" s="9">
        <f t="shared" si="31"/>
        <v>6</v>
      </c>
      <c r="K345" s="8" t="s">
        <v>1144</v>
      </c>
      <c r="L345" s="8" t="s">
        <v>28</v>
      </c>
      <c r="M345" s="20"/>
      <c r="N345" s="20"/>
      <c r="O345" s="21" t="s">
        <v>190</v>
      </c>
      <c r="P345" s="8" t="s">
        <v>1241</v>
      </c>
      <c r="Q345" s="8" t="s">
        <v>159</v>
      </c>
      <c r="R345" s="8" t="s">
        <v>160</v>
      </c>
      <c r="S345" s="8" t="s">
        <v>192</v>
      </c>
    </row>
    <row r="346" spans="1:19" ht="60" customHeight="1">
      <c r="A346" s="7" t="s">
        <v>1242</v>
      </c>
      <c r="B346" s="7" t="s">
        <v>1096</v>
      </c>
      <c r="C346" s="7" t="s">
        <v>1131</v>
      </c>
      <c r="D346" s="7" t="s">
        <v>1141</v>
      </c>
      <c r="E346" s="8" t="s">
        <v>23</v>
      </c>
      <c r="F346" s="7" t="s">
        <v>1105</v>
      </c>
      <c r="G346" s="7" t="s">
        <v>328</v>
      </c>
      <c r="H346" s="9">
        <f t="shared" si="30"/>
        <v>3</v>
      </c>
      <c r="I346" s="7" t="s">
        <v>1243</v>
      </c>
      <c r="J346" s="9">
        <f t="shared" si="31"/>
        <v>3</v>
      </c>
      <c r="K346" s="8" t="s">
        <v>1144</v>
      </c>
      <c r="L346" s="8" t="s">
        <v>28</v>
      </c>
      <c r="M346" s="20"/>
      <c r="N346" s="20"/>
      <c r="O346" s="21" t="s">
        <v>190</v>
      </c>
      <c r="P346" s="8" t="s">
        <v>1241</v>
      </c>
      <c r="Q346" s="8" t="s">
        <v>159</v>
      </c>
      <c r="R346" s="8" t="s">
        <v>160</v>
      </c>
      <c r="S346" s="8" t="s">
        <v>192</v>
      </c>
    </row>
    <row r="347" spans="1:19" ht="48" customHeight="1">
      <c r="A347" s="7" t="s">
        <v>1244</v>
      </c>
      <c r="B347" s="7" t="s">
        <v>1096</v>
      </c>
      <c r="C347" s="7" t="s">
        <v>1131</v>
      </c>
      <c r="D347" s="7" t="s">
        <v>1141</v>
      </c>
      <c r="E347" s="8" t="s">
        <v>81</v>
      </c>
      <c r="F347" s="7" t="s">
        <v>1108</v>
      </c>
      <c r="G347" s="7" t="s">
        <v>1239</v>
      </c>
      <c r="H347" s="9">
        <f t="shared" si="30"/>
        <v>19</v>
      </c>
      <c r="I347" s="7" t="s">
        <v>196</v>
      </c>
      <c r="J347" s="9">
        <f t="shared" si="31"/>
        <v>1</v>
      </c>
      <c r="K347" s="8" t="s">
        <v>1144</v>
      </c>
      <c r="L347" s="8" t="s">
        <v>28</v>
      </c>
      <c r="M347" s="20"/>
      <c r="N347" s="20"/>
      <c r="O347" s="21" t="s">
        <v>190</v>
      </c>
      <c r="P347" s="8" t="s">
        <v>1245</v>
      </c>
      <c r="Q347" s="8" t="s">
        <v>159</v>
      </c>
      <c r="R347" s="8" t="s">
        <v>160</v>
      </c>
      <c r="S347" s="8" t="s">
        <v>192</v>
      </c>
    </row>
    <row r="348" spans="1:19" ht="60" customHeight="1">
      <c r="A348" s="7" t="s">
        <v>1246</v>
      </c>
      <c r="B348" s="7" t="s">
        <v>1096</v>
      </c>
      <c r="C348" s="7" t="s">
        <v>1131</v>
      </c>
      <c r="D348" s="7" t="s">
        <v>1141</v>
      </c>
      <c r="E348" s="8" t="s">
        <v>34</v>
      </c>
      <c r="F348" s="7" t="s">
        <v>1151</v>
      </c>
      <c r="G348" s="7" t="s">
        <v>328</v>
      </c>
      <c r="H348" s="9">
        <f t="shared" si="30"/>
        <v>3</v>
      </c>
      <c r="I348" s="7" t="s">
        <v>1247</v>
      </c>
      <c r="J348" s="9">
        <f t="shared" si="31"/>
        <v>2</v>
      </c>
      <c r="K348" s="8" t="s">
        <v>1144</v>
      </c>
      <c r="L348" s="8" t="s">
        <v>28</v>
      </c>
      <c r="M348" s="20"/>
      <c r="N348" s="20"/>
      <c r="O348" s="21" t="s">
        <v>190</v>
      </c>
      <c r="P348" s="8" t="s">
        <v>1248</v>
      </c>
      <c r="Q348" s="8" t="s">
        <v>159</v>
      </c>
      <c r="R348" s="8" t="s">
        <v>160</v>
      </c>
      <c r="S348" s="8" t="s">
        <v>192</v>
      </c>
    </row>
    <row r="349" spans="1:19" ht="60" customHeight="1">
      <c r="A349" s="7" t="s">
        <v>1249</v>
      </c>
      <c r="B349" s="7" t="s">
        <v>1096</v>
      </c>
      <c r="C349" s="7" t="s">
        <v>1131</v>
      </c>
      <c r="D349" s="7" t="s">
        <v>1141</v>
      </c>
      <c r="E349" s="8" t="s">
        <v>34</v>
      </c>
      <c r="F349" s="7" t="s">
        <v>1155</v>
      </c>
      <c r="G349" s="7" t="s">
        <v>196</v>
      </c>
      <c r="H349" s="9">
        <f t="shared" si="30"/>
        <v>1</v>
      </c>
      <c r="I349" s="7" t="s">
        <v>1250</v>
      </c>
      <c r="J349" s="9">
        <f t="shared" si="31"/>
        <v>2</v>
      </c>
      <c r="K349" s="8" t="s">
        <v>1144</v>
      </c>
      <c r="L349" s="8" t="s">
        <v>28</v>
      </c>
      <c r="M349" s="20"/>
      <c r="N349" s="20"/>
      <c r="O349" s="21" t="s">
        <v>167</v>
      </c>
      <c r="P349" s="8" t="s">
        <v>1248</v>
      </c>
      <c r="Q349" s="8" t="s">
        <v>159</v>
      </c>
      <c r="R349" s="8" t="s">
        <v>160</v>
      </c>
      <c r="S349" s="8" t="s">
        <v>169</v>
      </c>
    </row>
    <row r="350" spans="1:19" ht="48" customHeight="1">
      <c r="A350" s="7" t="s">
        <v>1251</v>
      </c>
      <c r="B350" s="7" t="s">
        <v>1096</v>
      </c>
      <c r="C350" s="7" t="s">
        <v>1131</v>
      </c>
      <c r="D350" s="7" t="s">
        <v>1141</v>
      </c>
      <c r="E350" s="8" t="s">
        <v>34</v>
      </c>
      <c r="F350" s="7" t="s">
        <v>1159</v>
      </c>
      <c r="G350" s="7" t="s">
        <v>328</v>
      </c>
      <c r="H350" s="9">
        <f t="shared" si="30"/>
        <v>3</v>
      </c>
      <c r="I350" s="7" t="s">
        <v>200</v>
      </c>
      <c r="J350" s="9">
        <f t="shared" si="31"/>
        <v>1</v>
      </c>
      <c r="K350" s="8" t="s">
        <v>1144</v>
      </c>
      <c r="L350" s="8" t="s">
        <v>28</v>
      </c>
      <c r="M350" s="20"/>
      <c r="N350" s="20"/>
      <c r="O350" s="21" t="s">
        <v>190</v>
      </c>
      <c r="P350" s="8" t="s">
        <v>1252</v>
      </c>
      <c r="Q350" s="8" t="s">
        <v>159</v>
      </c>
      <c r="R350" s="8" t="s">
        <v>160</v>
      </c>
      <c r="S350" s="8" t="s">
        <v>192</v>
      </c>
    </row>
    <row r="351" spans="1:19" ht="60" customHeight="1">
      <c r="A351" s="7" t="s">
        <v>1253</v>
      </c>
      <c r="B351" s="7" t="s">
        <v>1096</v>
      </c>
      <c r="C351" s="7" t="s">
        <v>1131</v>
      </c>
      <c r="D351" s="7" t="s">
        <v>1163</v>
      </c>
      <c r="E351" s="8" t="s">
        <v>23</v>
      </c>
      <c r="F351" s="7" t="s">
        <v>1099</v>
      </c>
      <c r="G351" s="7" t="s">
        <v>1239</v>
      </c>
      <c r="H351" s="9">
        <f t="shared" si="30"/>
        <v>19</v>
      </c>
      <c r="I351" s="7" t="s">
        <v>1254</v>
      </c>
      <c r="J351" s="9">
        <f t="shared" si="31"/>
        <v>6</v>
      </c>
      <c r="K351" s="8" t="s">
        <v>1144</v>
      </c>
      <c r="L351" s="8" t="s">
        <v>28</v>
      </c>
      <c r="M351" s="20"/>
      <c r="N351" s="20"/>
      <c r="O351" s="21" t="s">
        <v>190</v>
      </c>
      <c r="P351" s="8" t="s">
        <v>1255</v>
      </c>
      <c r="Q351" s="8" t="s">
        <v>159</v>
      </c>
      <c r="R351" s="8" t="s">
        <v>160</v>
      </c>
      <c r="S351" s="8" t="s">
        <v>192</v>
      </c>
    </row>
    <row r="352" spans="1:19" ht="60" customHeight="1">
      <c r="A352" s="7" t="s">
        <v>1256</v>
      </c>
      <c r="B352" s="7" t="s">
        <v>1096</v>
      </c>
      <c r="C352" s="7" t="s">
        <v>1131</v>
      </c>
      <c r="D352" s="7" t="s">
        <v>1163</v>
      </c>
      <c r="E352" s="8" t="s">
        <v>23</v>
      </c>
      <c r="F352" s="7" t="s">
        <v>1105</v>
      </c>
      <c r="G352" s="7" t="s">
        <v>328</v>
      </c>
      <c r="H352" s="9">
        <f t="shared" si="30"/>
        <v>3</v>
      </c>
      <c r="I352" s="7" t="s">
        <v>487</v>
      </c>
      <c r="J352" s="9">
        <f t="shared" si="31"/>
        <v>3</v>
      </c>
      <c r="K352" s="8" t="s">
        <v>1144</v>
      </c>
      <c r="L352" s="8" t="s">
        <v>28</v>
      </c>
      <c r="M352" s="20"/>
      <c r="N352" s="20"/>
      <c r="O352" s="21" t="s">
        <v>190</v>
      </c>
      <c r="P352" s="8" t="s">
        <v>1255</v>
      </c>
      <c r="Q352" s="8" t="s">
        <v>159</v>
      </c>
      <c r="R352" s="8" t="s">
        <v>160</v>
      </c>
      <c r="S352" s="8" t="s">
        <v>192</v>
      </c>
    </row>
    <row r="353" spans="1:19" ht="48" customHeight="1">
      <c r="A353" s="7" t="s">
        <v>1257</v>
      </c>
      <c r="B353" s="7" t="s">
        <v>1096</v>
      </c>
      <c r="C353" s="7" t="s">
        <v>1131</v>
      </c>
      <c r="D353" s="7" t="s">
        <v>1163</v>
      </c>
      <c r="E353" s="8" t="s">
        <v>81</v>
      </c>
      <c r="F353" s="7" t="s">
        <v>1108</v>
      </c>
      <c r="G353" s="7" t="s">
        <v>1239</v>
      </c>
      <c r="H353" s="9">
        <f t="shared" si="30"/>
        <v>19</v>
      </c>
      <c r="I353" s="7" t="s">
        <v>1156</v>
      </c>
      <c r="J353" s="9">
        <f t="shared" si="31"/>
        <v>1</v>
      </c>
      <c r="K353" s="8" t="s">
        <v>1144</v>
      </c>
      <c r="L353" s="8" t="s">
        <v>28</v>
      </c>
      <c r="M353" s="20"/>
      <c r="N353" s="20"/>
      <c r="O353" s="21" t="s">
        <v>190</v>
      </c>
      <c r="P353" s="8" t="s">
        <v>1258</v>
      </c>
      <c r="Q353" s="8" t="s">
        <v>159</v>
      </c>
      <c r="R353" s="8" t="s">
        <v>160</v>
      </c>
      <c r="S353" s="8" t="s">
        <v>192</v>
      </c>
    </row>
    <row r="354" spans="1:19" ht="60" customHeight="1">
      <c r="A354" s="7" t="s">
        <v>1259</v>
      </c>
      <c r="B354" s="7" t="s">
        <v>1096</v>
      </c>
      <c r="C354" s="7" t="s">
        <v>1131</v>
      </c>
      <c r="D354" s="7" t="s">
        <v>1163</v>
      </c>
      <c r="E354" s="8" t="s">
        <v>34</v>
      </c>
      <c r="F354" s="7" t="s">
        <v>1151</v>
      </c>
      <c r="G354" s="7" t="s">
        <v>328</v>
      </c>
      <c r="H354" s="9">
        <f t="shared" si="30"/>
        <v>3</v>
      </c>
      <c r="I354" s="7" t="s">
        <v>1260</v>
      </c>
      <c r="J354" s="9">
        <f t="shared" si="31"/>
        <v>2</v>
      </c>
      <c r="K354" s="8" t="s">
        <v>1144</v>
      </c>
      <c r="L354" s="8" t="s">
        <v>28</v>
      </c>
      <c r="M354" s="20"/>
      <c r="N354" s="20"/>
      <c r="O354" s="21" t="s">
        <v>190</v>
      </c>
      <c r="P354" s="8" t="s">
        <v>1261</v>
      </c>
      <c r="Q354" s="8" t="s">
        <v>159</v>
      </c>
      <c r="R354" s="8" t="s">
        <v>160</v>
      </c>
      <c r="S354" s="8" t="s">
        <v>192</v>
      </c>
    </row>
    <row r="355" spans="1:19" ht="60" customHeight="1">
      <c r="A355" s="7" t="s">
        <v>1262</v>
      </c>
      <c r="B355" s="7" t="s">
        <v>1096</v>
      </c>
      <c r="C355" s="7" t="s">
        <v>1131</v>
      </c>
      <c r="D355" s="7" t="s">
        <v>1163</v>
      </c>
      <c r="E355" s="8" t="s">
        <v>34</v>
      </c>
      <c r="F355" s="7" t="s">
        <v>1155</v>
      </c>
      <c r="G355" s="7" t="s">
        <v>196</v>
      </c>
      <c r="H355" s="9">
        <f t="shared" si="30"/>
        <v>1</v>
      </c>
      <c r="I355" s="7" t="s">
        <v>654</v>
      </c>
      <c r="J355" s="9">
        <f t="shared" si="31"/>
        <v>2</v>
      </c>
      <c r="K355" s="8" t="s">
        <v>1144</v>
      </c>
      <c r="L355" s="8" t="s">
        <v>28</v>
      </c>
      <c r="M355" s="20"/>
      <c r="N355" s="20"/>
      <c r="O355" s="21" t="s">
        <v>167</v>
      </c>
      <c r="P355" s="8" t="s">
        <v>1261</v>
      </c>
      <c r="Q355" s="8" t="s">
        <v>159</v>
      </c>
      <c r="R355" s="8" t="s">
        <v>160</v>
      </c>
      <c r="S355" s="8" t="s">
        <v>169</v>
      </c>
    </row>
    <row r="356" spans="1:19" ht="48" customHeight="1">
      <c r="A356" s="7" t="s">
        <v>1263</v>
      </c>
      <c r="B356" s="7" t="s">
        <v>1096</v>
      </c>
      <c r="C356" s="7" t="s">
        <v>1131</v>
      </c>
      <c r="D356" s="7" t="s">
        <v>1163</v>
      </c>
      <c r="E356" s="8" t="s">
        <v>34</v>
      </c>
      <c r="F356" s="7" t="s">
        <v>1159</v>
      </c>
      <c r="G356" s="7" t="s">
        <v>328</v>
      </c>
      <c r="H356" s="9">
        <f t="shared" si="30"/>
        <v>3</v>
      </c>
      <c r="I356" s="7" t="s">
        <v>301</v>
      </c>
      <c r="J356" s="9">
        <f t="shared" si="31"/>
        <v>1</v>
      </c>
      <c r="K356" s="8" t="s">
        <v>1144</v>
      </c>
      <c r="L356" s="8" t="s">
        <v>28</v>
      </c>
      <c r="M356" s="20"/>
      <c r="N356" s="20"/>
      <c r="O356" s="21" t="s">
        <v>190</v>
      </c>
      <c r="P356" s="8" t="s">
        <v>1264</v>
      </c>
      <c r="Q356" s="8" t="s">
        <v>159</v>
      </c>
      <c r="R356" s="8" t="s">
        <v>160</v>
      </c>
      <c r="S356" s="8" t="s">
        <v>192</v>
      </c>
    </row>
    <row r="357" spans="1:19" ht="48" customHeight="1">
      <c r="A357" s="12" t="s">
        <v>1265</v>
      </c>
      <c r="B357" s="12" t="s">
        <v>1266</v>
      </c>
      <c r="C357" s="12" t="s">
        <v>1267</v>
      </c>
      <c r="D357" s="12" t="s">
        <v>1268</v>
      </c>
      <c r="E357" s="13" t="s">
        <v>94</v>
      </c>
      <c r="F357" s="29" t="s">
        <v>1269</v>
      </c>
      <c r="G357" s="33"/>
      <c r="H357" s="34"/>
      <c r="I357" s="33"/>
      <c r="J357" s="34"/>
      <c r="K357" s="13" t="s">
        <v>64</v>
      </c>
      <c r="L357" s="13" t="s">
        <v>28</v>
      </c>
      <c r="M357" s="15"/>
      <c r="N357" s="15"/>
      <c r="O357" s="16"/>
      <c r="P357" s="13" t="s">
        <v>1270</v>
      </c>
      <c r="Q357" s="13" t="s">
        <v>159</v>
      </c>
      <c r="R357" s="35" t="s">
        <v>94</v>
      </c>
      <c r="S357" s="13" t="s">
        <v>1271</v>
      </c>
    </row>
    <row r="358" spans="1:19" ht="48" customHeight="1">
      <c r="A358" s="17" t="s">
        <v>1272</v>
      </c>
      <c r="B358" s="17" t="s">
        <v>1266</v>
      </c>
      <c r="C358" s="17" t="s">
        <v>1267</v>
      </c>
      <c r="D358" s="17" t="s">
        <v>1273</v>
      </c>
      <c r="E358" s="18" t="s">
        <v>94</v>
      </c>
      <c r="F358" s="30" t="s">
        <v>1269</v>
      </c>
      <c r="G358" s="22"/>
      <c r="H358" s="23"/>
      <c r="I358" s="22"/>
      <c r="J358" s="23"/>
      <c r="K358" s="18" t="s">
        <v>64</v>
      </c>
      <c r="L358" s="18" t="s">
        <v>28</v>
      </c>
      <c r="M358" s="20"/>
      <c r="N358" s="20"/>
      <c r="O358" s="21"/>
      <c r="P358" s="18" t="s">
        <v>1274</v>
      </c>
      <c r="Q358" s="18" t="s">
        <v>159</v>
      </c>
      <c r="R358" s="24" t="s">
        <v>94</v>
      </c>
      <c r="S358" s="18" t="s">
        <v>1275</v>
      </c>
    </row>
    <row r="359" spans="1:19" ht="48" customHeight="1">
      <c r="A359" s="17" t="s">
        <v>1276</v>
      </c>
      <c r="B359" s="17" t="s">
        <v>1266</v>
      </c>
      <c r="C359" s="17" t="s">
        <v>1277</v>
      </c>
      <c r="D359" s="17" t="s">
        <v>1278</v>
      </c>
      <c r="E359" s="18" t="s">
        <v>94</v>
      </c>
      <c r="F359" s="30" t="s">
        <v>1269</v>
      </c>
      <c r="G359" s="22"/>
      <c r="H359" s="23"/>
      <c r="I359" s="22"/>
      <c r="J359" s="23"/>
      <c r="K359" s="18" t="s">
        <v>64</v>
      </c>
      <c r="L359" s="18" t="s">
        <v>28</v>
      </c>
      <c r="M359" s="20"/>
      <c r="N359" s="20"/>
      <c r="O359" s="21"/>
      <c r="P359" s="18" t="s">
        <v>1279</v>
      </c>
      <c r="Q359" s="18" t="s">
        <v>159</v>
      </c>
      <c r="R359" s="24" t="s">
        <v>94</v>
      </c>
      <c r="S359" s="18" t="s">
        <v>1280</v>
      </c>
    </row>
    <row r="360" spans="1:19" ht="48" customHeight="1">
      <c r="A360" s="17" t="s">
        <v>1281</v>
      </c>
      <c r="B360" s="17" t="s">
        <v>1266</v>
      </c>
      <c r="C360" s="17" t="s">
        <v>1277</v>
      </c>
      <c r="D360" s="17" t="s">
        <v>1282</v>
      </c>
      <c r="E360" s="18" t="s">
        <v>23</v>
      </c>
      <c r="F360" s="17" t="s">
        <v>1283</v>
      </c>
      <c r="G360" s="22"/>
      <c r="H360" s="23"/>
      <c r="I360" s="22"/>
      <c r="J360" s="23"/>
      <c r="K360" s="18" t="s">
        <v>64</v>
      </c>
      <c r="L360" s="18" t="s">
        <v>28</v>
      </c>
      <c r="M360" s="20"/>
      <c r="N360" s="20"/>
      <c r="O360" s="21"/>
      <c r="P360" s="18" t="s">
        <v>1284</v>
      </c>
      <c r="Q360" s="18" t="s">
        <v>159</v>
      </c>
      <c r="R360" s="24" t="s">
        <v>94</v>
      </c>
      <c r="S360" s="18" t="s">
        <v>1285</v>
      </c>
    </row>
    <row r="361" spans="1:19" ht="48" customHeight="1">
      <c r="A361" s="2" t="s">
        <v>1286</v>
      </c>
      <c r="B361" s="2" t="s">
        <v>1287</v>
      </c>
      <c r="C361" s="2" t="s">
        <v>1288</v>
      </c>
      <c r="D361" s="2" t="s">
        <v>202</v>
      </c>
      <c r="E361" s="3" t="s">
        <v>23</v>
      </c>
      <c r="F361" s="2" t="s">
        <v>1099</v>
      </c>
      <c r="G361" s="2" t="s">
        <v>1289</v>
      </c>
      <c r="H361" s="4">
        <f t="shared" ref="H361:H372" si="32">IF(LEN(G361)=0,"",IF(ISNUMBER(SEARCH(",",G361)),LEN(SUBSTITUTE(G361,",","xx"))-LEN(G361)+1,1))</f>
        <v>5</v>
      </c>
      <c r="I361" s="2" t="s">
        <v>1290</v>
      </c>
      <c r="J361" s="4">
        <f t="shared" ref="J361:J372" si="33">IF(LEN(I361)=0,"",IF(ISNUMBER(SEARCH(",",I361)),LEN(SUBSTITUTE(I361,",","xx"))-LEN(I361)+1,1))</f>
        <v>13</v>
      </c>
      <c r="K361" s="3" t="s">
        <v>1291</v>
      </c>
      <c r="L361" s="3" t="s">
        <v>28</v>
      </c>
      <c r="M361" s="5">
        <v>0.2581988897471611</v>
      </c>
      <c r="N361" s="5">
        <v>0.56370286165077299</v>
      </c>
      <c r="O361" s="6" t="str">
        <f>IF(AND(N361&lt;0.05,OR(AND(L361="升高改善",M361&gt;0),AND(L361="降低改善",M361&lt;0))),"校正","不校正")</f>
        <v>不校正</v>
      </c>
      <c r="P361" s="3" t="s">
        <v>1292</v>
      </c>
      <c r="Q361" s="3" t="s">
        <v>159</v>
      </c>
      <c r="R361" s="3" t="s">
        <v>160</v>
      </c>
      <c r="S361" s="3"/>
    </row>
    <row r="362" spans="1:19" ht="48" customHeight="1">
      <c r="A362" s="7" t="s">
        <v>1293</v>
      </c>
      <c r="B362" s="7" t="s">
        <v>1287</v>
      </c>
      <c r="C362" s="7" t="s">
        <v>1288</v>
      </c>
      <c r="D362" s="7" t="s">
        <v>214</v>
      </c>
      <c r="E362" s="8" t="s">
        <v>23</v>
      </c>
      <c r="F362" s="7" t="s">
        <v>1099</v>
      </c>
      <c r="G362" s="7" t="s">
        <v>401</v>
      </c>
      <c r="H362" s="9">
        <f t="shared" si="32"/>
        <v>5</v>
      </c>
      <c r="I362" s="7" t="s">
        <v>1294</v>
      </c>
      <c r="J362" s="9">
        <f t="shared" si="33"/>
        <v>13</v>
      </c>
      <c r="K362" s="8" t="s">
        <v>1291</v>
      </c>
      <c r="L362" s="8" t="s">
        <v>28</v>
      </c>
      <c r="M362" s="20"/>
      <c r="N362" s="20"/>
      <c r="O362" s="21" t="s">
        <v>190</v>
      </c>
      <c r="P362" s="8" t="s">
        <v>1295</v>
      </c>
      <c r="Q362" s="8" t="s">
        <v>159</v>
      </c>
      <c r="R362" s="8" t="s">
        <v>160</v>
      </c>
      <c r="S362" s="8" t="s">
        <v>192</v>
      </c>
    </row>
    <row r="363" spans="1:19" ht="48" customHeight="1">
      <c r="A363" s="7" t="s">
        <v>1296</v>
      </c>
      <c r="B363" s="7" t="s">
        <v>1287</v>
      </c>
      <c r="C363" s="7" t="s">
        <v>1288</v>
      </c>
      <c r="D363" s="7" t="s">
        <v>214</v>
      </c>
      <c r="E363" s="8" t="s">
        <v>23</v>
      </c>
      <c r="F363" s="7" t="s">
        <v>1105</v>
      </c>
      <c r="G363" s="7" t="s">
        <v>1297</v>
      </c>
      <c r="H363" s="9">
        <f t="shared" si="32"/>
        <v>5</v>
      </c>
      <c r="I363" s="7" t="s">
        <v>1298</v>
      </c>
      <c r="J363" s="9">
        <f t="shared" si="33"/>
        <v>8</v>
      </c>
      <c r="K363" s="8" t="s">
        <v>1291</v>
      </c>
      <c r="L363" s="8" t="s">
        <v>28</v>
      </c>
      <c r="M363" s="10">
        <v>-0.22360679774997896</v>
      </c>
      <c r="N363" s="10">
        <v>0.60150813444058993</v>
      </c>
      <c r="O363" s="11" t="str">
        <f>IF(AND(N363&lt;0.05,OR(AND(L363="升高改善",M363&gt;0),AND(L363="降低改善",M363&lt;0))),"校正","不校正")</f>
        <v>不校正</v>
      </c>
      <c r="P363" s="8" t="s">
        <v>1295</v>
      </c>
      <c r="Q363" s="8" t="s">
        <v>159</v>
      </c>
      <c r="R363" s="8" t="s">
        <v>160</v>
      </c>
      <c r="S363" s="8"/>
    </row>
    <row r="364" spans="1:19" ht="48" customHeight="1">
      <c r="A364" s="7" t="s">
        <v>1299</v>
      </c>
      <c r="B364" s="7" t="s">
        <v>1287</v>
      </c>
      <c r="C364" s="7" t="s">
        <v>1300</v>
      </c>
      <c r="D364" s="7" t="s">
        <v>202</v>
      </c>
      <c r="E364" s="8" t="s">
        <v>23</v>
      </c>
      <c r="F364" s="7" t="s">
        <v>1099</v>
      </c>
      <c r="G364" s="7" t="s">
        <v>725</v>
      </c>
      <c r="H364" s="9">
        <f t="shared" si="32"/>
        <v>7</v>
      </c>
      <c r="I364" s="7" t="s">
        <v>1301</v>
      </c>
      <c r="J364" s="9">
        <f t="shared" si="33"/>
        <v>10</v>
      </c>
      <c r="K364" s="8" t="s">
        <v>1291</v>
      </c>
      <c r="L364" s="8" t="s">
        <v>28</v>
      </c>
      <c r="M364" s="20"/>
      <c r="N364" s="20"/>
      <c r="O364" s="21" t="s">
        <v>190</v>
      </c>
      <c r="P364" s="8" t="s">
        <v>1302</v>
      </c>
      <c r="Q364" s="8" t="s">
        <v>159</v>
      </c>
      <c r="R364" s="8" t="s">
        <v>160</v>
      </c>
      <c r="S364" s="8" t="s">
        <v>192</v>
      </c>
    </row>
    <row r="365" spans="1:19" ht="48" customHeight="1">
      <c r="A365" s="7" t="s">
        <v>1303</v>
      </c>
      <c r="B365" s="7" t="s">
        <v>1287</v>
      </c>
      <c r="C365" s="7" t="s">
        <v>1300</v>
      </c>
      <c r="D365" s="7" t="s">
        <v>202</v>
      </c>
      <c r="E365" s="8" t="s">
        <v>23</v>
      </c>
      <c r="F365" s="7" t="s">
        <v>1105</v>
      </c>
      <c r="G365" s="7" t="s">
        <v>1304</v>
      </c>
      <c r="H365" s="9">
        <f t="shared" si="32"/>
        <v>5</v>
      </c>
      <c r="I365" s="7" t="s">
        <v>1305</v>
      </c>
      <c r="J365" s="9">
        <f t="shared" si="33"/>
        <v>6</v>
      </c>
      <c r="K365" s="8" t="s">
        <v>1291</v>
      </c>
      <c r="L365" s="8" t="s">
        <v>28</v>
      </c>
      <c r="M365" s="10">
        <v>0</v>
      </c>
      <c r="N365" s="10">
        <v>1</v>
      </c>
      <c r="O365" s="11" t="str">
        <f>IF(AND(N365&lt;0.05,OR(AND(L365="升高改善",M365&gt;0),AND(L365="降低改善",M365&lt;0))),"校正","不校正")</f>
        <v>不校正</v>
      </c>
      <c r="P365" s="8" t="s">
        <v>1302</v>
      </c>
      <c r="Q365" s="8" t="s">
        <v>159</v>
      </c>
      <c r="R365" s="8" t="s">
        <v>160</v>
      </c>
      <c r="S365" s="8"/>
    </row>
    <row r="366" spans="1:19" ht="48" customHeight="1">
      <c r="A366" s="7" t="s">
        <v>1306</v>
      </c>
      <c r="B366" s="7" t="s">
        <v>1287</v>
      </c>
      <c r="C366" s="7" t="s">
        <v>1300</v>
      </c>
      <c r="D366" s="7" t="s">
        <v>214</v>
      </c>
      <c r="E366" s="8" t="s">
        <v>23</v>
      </c>
      <c r="F366" s="7" t="s">
        <v>1099</v>
      </c>
      <c r="G366" s="7" t="s">
        <v>725</v>
      </c>
      <c r="H366" s="9">
        <f t="shared" si="32"/>
        <v>7</v>
      </c>
      <c r="I366" s="7" t="s">
        <v>1307</v>
      </c>
      <c r="J366" s="9">
        <f t="shared" si="33"/>
        <v>10</v>
      </c>
      <c r="K366" s="8" t="s">
        <v>1291</v>
      </c>
      <c r="L366" s="8" t="s">
        <v>28</v>
      </c>
      <c r="M366" s="20"/>
      <c r="N366" s="20"/>
      <c r="O366" s="21" t="s">
        <v>190</v>
      </c>
      <c r="P366" s="8" t="s">
        <v>1308</v>
      </c>
      <c r="Q366" s="8" t="s">
        <v>159</v>
      </c>
      <c r="R366" s="8" t="s">
        <v>160</v>
      </c>
      <c r="S366" s="8" t="s">
        <v>192</v>
      </c>
    </row>
    <row r="367" spans="1:19" ht="48" customHeight="1">
      <c r="A367" s="7" t="s">
        <v>1309</v>
      </c>
      <c r="B367" s="7" t="s">
        <v>1287</v>
      </c>
      <c r="C367" s="7" t="s">
        <v>1300</v>
      </c>
      <c r="D367" s="7" t="s">
        <v>214</v>
      </c>
      <c r="E367" s="8" t="s">
        <v>23</v>
      </c>
      <c r="F367" s="7" t="s">
        <v>1105</v>
      </c>
      <c r="G367" s="7" t="s">
        <v>1310</v>
      </c>
      <c r="H367" s="9">
        <f t="shared" si="32"/>
        <v>5</v>
      </c>
      <c r="I367" s="7" t="s">
        <v>1311</v>
      </c>
      <c r="J367" s="9">
        <f t="shared" si="33"/>
        <v>6</v>
      </c>
      <c r="K367" s="8" t="s">
        <v>1291</v>
      </c>
      <c r="L367" s="8" t="s">
        <v>28</v>
      </c>
      <c r="M367" s="10">
        <v>0.31622776601683794</v>
      </c>
      <c r="N367" s="10">
        <v>0.44848886103153174</v>
      </c>
      <c r="O367" s="11" t="str">
        <f>IF(AND(N367&lt;0.05,OR(AND(L367="升高改善",M367&gt;0),AND(L367="降低改善",M367&lt;0))),"校正","不校正")</f>
        <v>不校正</v>
      </c>
      <c r="P367" s="8" t="s">
        <v>1308</v>
      </c>
      <c r="Q367" s="8" t="s">
        <v>159</v>
      </c>
      <c r="R367" s="8" t="s">
        <v>160</v>
      </c>
      <c r="S367" s="8"/>
    </row>
    <row r="368" spans="1:19" ht="48" customHeight="1">
      <c r="A368" s="7" t="s">
        <v>1312</v>
      </c>
      <c r="B368" s="7" t="s">
        <v>1287</v>
      </c>
      <c r="C368" s="7" t="s">
        <v>1313</v>
      </c>
      <c r="D368" s="7" t="s">
        <v>202</v>
      </c>
      <c r="E368" s="8" t="s">
        <v>23</v>
      </c>
      <c r="F368" s="7" t="s">
        <v>1099</v>
      </c>
      <c r="G368" s="7" t="s">
        <v>1314</v>
      </c>
      <c r="H368" s="9">
        <f t="shared" si="32"/>
        <v>5</v>
      </c>
      <c r="I368" s="7" t="s">
        <v>1315</v>
      </c>
      <c r="J368" s="9">
        <f t="shared" si="33"/>
        <v>8</v>
      </c>
      <c r="K368" s="8" t="s">
        <v>1291</v>
      </c>
      <c r="L368" s="8" t="s">
        <v>28</v>
      </c>
      <c r="M368" s="10">
        <v>-0.10540925533894598</v>
      </c>
      <c r="N368" s="10">
        <v>0.80054210742312626</v>
      </c>
      <c r="O368" s="11" t="str">
        <f>IF(AND(N368&lt;0.05,OR(AND(L368="升高改善",M368&gt;0),AND(L368="降低改善",M368&lt;0))),"校正","不校正")</f>
        <v>不校正</v>
      </c>
      <c r="P368" s="8" t="s">
        <v>1316</v>
      </c>
      <c r="Q368" s="8" t="s">
        <v>159</v>
      </c>
      <c r="R368" s="8" t="s">
        <v>160</v>
      </c>
      <c r="S368" s="8"/>
    </row>
    <row r="369" spans="1:19" ht="48" customHeight="1">
      <c r="A369" s="7" t="s">
        <v>1317</v>
      </c>
      <c r="B369" s="7" t="s">
        <v>1287</v>
      </c>
      <c r="C369" s="7" t="s">
        <v>1313</v>
      </c>
      <c r="D369" s="7" t="s">
        <v>202</v>
      </c>
      <c r="E369" s="8" t="s">
        <v>23</v>
      </c>
      <c r="F369" s="7" t="s">
        <v>1105</v>
      </c>
      <c r="G369" s="7" t="s">
        <v>1318</v>
      </c>
      <c r="H369" s="9">
        <f t="shared" si="32"/>
        <v>5</v>
      </c>
      <c r="I369" s="7" t="s">
        <v>1319</v>
      </c>
      <c r="J369" s="9">
        <f t="shared" si="33"/>
        <v>6</v>
      </c>
      <c r="K369" s="8" t="s">
        <v>1291</v>
      </c>
      <c r="L369" s="8" t="s">
        <v>28</v>
      </c>
      <c r="M369" s="10">
        <v>-0.6</v>
      </c>
      <c r="N369" s="10">
        <v>0.14164469029513679</v>
      </c>
      <c r="O369" s="11" t="str">
        <f>IF(AND(N369&lt;0.05,OR(AND(L369="升高改善",M369&gt;0),AND(L369="降低改善",M369&lt;0))),"校正","不校正")</f>
        <v>不校正</v>
      </c>
      <c r="P369" s="8" t="s">
        <v>1316</v>
      </c>
      <c r="Q369" s="8" t="s">
        <v>159</v>
      </c>
      <c r="R369" s="8" t="s">
        <v>160</v>
      </c>
      <c r="S369" s="8"/>
    </row>
    <row r="370" spans="1:19" ht="48" customHeight="1">
      <c r="A370" s="7" t="s">
        <v>1320</v>
      </c>
      <c r="B370" s="7" t="s">
        <v>1287</v>
      </c>
      <c r="C370" s="7" t="s">
        <v>1313</v>
      </c>
      <c r="D370" s="7" t="s">
        <v>214</v>
      </c>
      <c r="E370" s="8" t="s">
        <v>23</v>
      </c>
      <c r="F370" s="7" t="s">
        <v>1099</v>
      </c>
      <c r="G370" s="7" t="s">
        <v>1321</v>
      </c>
      <c r="H370" s="9">
        <f t="shared" si="32"/>
        <v>5</v>
      </c>
      <c r="I370" s="7" t="s">
        <v>1322</v>
      </c>
      <c r="J370" s="9">
        <f t="shared" si="33"/>
        <v>8</v>
      </c>
      <c r="K370" s="8" t="s">
        <v>1291</v>
      </c>
      <c r="L370" s="8" t="s">
        <v>28</v>
      </c>
      <c r="M370" s="10">
        <v>-0.67082039324993692</v>
      </c>
      <c r="N370" s="10">
        <v>0.11718508719813807</v>
      </c>
      <c r="O370" s="11" t="str">
        <f>IF(AND(N370&lt;0.05,OR(AND(L370="升高改善",M370&gt;0),AND(L370="降低改善",M370&lt;0))),"校正","不校正")</f>
        <v>不校正</v>
      </c>
      <c r="P370" s="8" t="s">
        <v>1323</v>
      </c>
      <c r="Q370" s="8" t="s">
        <v>159</v>
      </c>
      <c r="R370" s="8" t="s">
        <v>160</v>
      </c>
      <c r="S370" s="8"/>
    </row>
    <row r="371" spans="1:19" ht="48" customHeight="1">
      <c r="A371" s="7" t="s">
        <v>1324</v>
      </c>
      <c r="B371" s="7" t="s">
        <v>1287</v>
      </c>
      <c r="C371" s="7" t="s">
        <v>1313</v>
      </c>
      <c r="D371" s="7" t="s">
        <v>214</v>
      </c>
      <c r="E371" s="8" t="s">
        <v>23</v>
      </c>
      <c r="F371" s="7" t="s">
        <v>1105</v>
      </c>
      <c r="G371" s="7" t="s">
        <v>1325</v>
      </c>
      <c r="H371" s="9">
        <f t="shared" si="32"/>
        <v>5</v>
      </c>
      <c r="I371" s="7" t="s">
        <v>1326</v>
      </c>
      <c r="J371" s="9">
        <f t="shared" si="33"/>
        <v>6</v>
      </c>
      <c r="K371" s="8" t="s">
        <v>1291</v>
      </c>
      <c r="L371" s="8" t="s">
        <v>28</v>
      </c>
      <c r="M371" s="10">
        <v>-0.2</v>
      </c>
      <c r="N371" s="10">
        <v>0.62420611476640608</v>
      </c>
      <c r="O371" s="11" t="str">
        <f>IF(AND(N371&lt;0.05,OR(AND(L371="升高改善",M371&gt;0),AND(L371="降低改善",M371&lt;0))),"校正","不校正")</f>
        <v>不校正</v>
      </c>
      <c r="P371" s="8" t="s">
        <v>1323</v>
      </c>
      <c r="Q371" s="8" t="s">
        <v>159</v>
      </c>
      <c r="R371" s="8" t="s">
        <v>160</v>
      </c>
      <c r="S371" s="8"/>
    </row>
    <row r="372" spans="1:19" ht="72" customHeight="1">
      <c r="A372" s="12" t="s">
        <v>1327</v>
      </c>
      <c r="B372" s="12" t="s">
        <v>1328</v>
      </c>
      <c r="C372" s="12" t="s">
        <v>584</v>
      </c>
      <c r="D372" s="12" t="s">
        <v>1329</v>
      </c>
      <c r="E372" s="13" t="s">
        <v>23</v>
      </c>
      <c r="F372" s="12" t="s">
        <v>132</v>
      </c>
      <c r="G372" s="12" t="s">
        <v>270</v>
      </c>
      <c r="H372" s="14">
        <f t="shared" si="32"/>
        <v>6</v>
      </c>
      <c r="I372" s="12" t="s">
        <v>1330</v>
      </c>
      <c r="J372" s="14">
        <f t="shared" si="33"/>
        <v>5</v>
      </c>
      <c r="K372" s="13" t="s">
        <v>1331</v>
      </c>
      <c r="L372" s="13" t="s">
        <v>28</v>
      </c>
      <c r="M372" s="15"/>
      <c r="N372" s="15"/>
      <c r="O372" s="16" t="s">
        <v>190</v>
      </c>
      <c r="P372" s="13" t="s">
        <v>1332</v>
      </c>
      <c r="Q372" s="13" t="s">
        <v>159</v>
      </c>
      <c r="R372" s="13" t="s">
        <v>160</v>
      </c>
      <c r="S372" s="13" t="s">
        <v>192</v>
      </c>
    </row>
    <row r="373" spans="1:19" ht="72" customHeight="1">
      <c r="A373" s="17" t="s">
        <v>1333</v>
      </c>
      <c r="B373" s="17" t="s">
        <v>1328</v>
      </c>
      <c r="C373" s="17" t="s">
        <v>584</v>
      </c>
      <c r="D373" s="17" t="s">
        <v>1329</v>
      </c>
      <c r="E373" s="18" t="s">
        <v>81</v>
      </c>
      <c r="F373" s="17" t="s">
        <v>82</v>
      </c>
      <c r="G373" s="22"/>
      <c r="H373" s="23"/>
      <c r="I373" s="22"/>
      <c r="J373" s="23"/>
      <c r="K373" s="18" t="s">
        <v>1331</v>
      </c>
      <c r="L373" s="18" t="s">
        <v>28</v>
      </c>
      <c r="M373" s="20"/>
      <c r="N373" s="20"/>
      <c r="O373" s="21"/>
      <c r="P373" s="18" t="s">
        <v>1332</v>
      </c>
      <c r="Q373" s="18" t="s">
        <v>159</v>
      </c>
      <c r="R373" s="24" t="s">
        <v>94</v>
      </c>
      <c r="S373" s="18" t="s">
        <v>1334</v>
      </c>
    </row>
    <row r="374" spans="1:19" ht="72" customHeight="1">
      <c r="A374" s="17" t="s">
        <v>1335</v>
      </c>
      <c r="B374" s="17" t="s">
        <v>1328</v>
      </c>
      <c r="C374" s="17" t="s">
        <v>584</v>
      </c>
      <c r="D374" s="17" t="s">
        <v>1329</v>
      </c>
      <c r="E374" s="18" t="s">
        <v>34</v>
      </c>
      <c r="F374" s="17" t="s">
        <v>1336</v>
      </c>
      <c r="G374" s="22"/>
      <c r="H374" s="23"/>
      <c r="I374" s="22"/>
      <c r="J374" s="23"/>
      <c r="K374" s="18" t="s">
        <v>1331</v>
      </c>
      <c r="L374" s="18" t="s">
        <v>28</v>
      </c>
      <c r="M374" s="20"/>
      <c r="N374" s="20"/>
      <c r="O374" s="21"/>
      <c r="P374" s="18" t="s">
        <v>1337</v>
      </c>
      <c r="Q374" s="18" t="s">
        <v>159</v>
      </c>
      <c r="R374" s="24" t="s">
        <v>94</v>
      </c>
      <c r="S374" s="18" t="s">
        <v>1338</v>
      </c>
    </row>
    <row r="375" spans="1:19" ht="72" customHeight="1">
      <c r="A375" s="17" t="s">
        <v>1339</v>
      </c>
      <c r="B375" s="17" t="s">
        <v>1328</v>
      </c>
      <c r="C375" s="17" t="s">
        <v>584</v>
      </c>
      <c r="D375" s="17" t="s">
        <v>1329</v>
      </c>
      <c r="E375" s="18" t="s">
        <v>34</v>
      </c>
      <c r="F375" s="17" t="s">
        <v>1340</v>
      </c>
      <c r="G375" s="22"/>
      <c r="H375" s="23"/>
      <c r="I375" s="22"/>
      <c r="J375" s="23"/>
      <c r="K375" s="18" t="s">
        <v>1331</v>
      </c>
      <c r="L375" s="18" t="s">
        <v>28</v>
      </c>
      <c r="M375" s="20"/>
      <c r="N375" s="20"/>
      <c r="O375" s="21"/>
      <c r="P375" s="18" t="s">
        <v>1337</v>
      </c>
      <c r="Q375" s="18" t="s">
        <v>159</v>
      </c>
      <c r="R375" s="24" t="s">
        <v>94</v>
      </c>
      <c r="S375" s="18" t="s">
        <v>1338</v>
      </c>
    </row>
    <row r="376" spans="1:19" ht="60" customHeight="1">
      <c r="A376" s="2" t="s">
        <v>1341</v>
      </c>
      <c r="B376" s="2" t="s">
        <v>1342</v>
      </c>
      <c r="C376" s="2" t="s">
        <v>1343</v>
      </c>
      <c r="D376" s="2" t="s">
        <v>1344</v>
      </c>
      <c r="E376" s="3" t="s">
        <v>23</v>
      </c>
      <c r="F376" s="2" t="s">
        <v>1345</v>
      </c>
      <c r="G376" s="2" t="s">
        <v>1346</v>
      </c>
      <c r="H376" s="4">
        <f t="shared" ref="H376:H407" si="34">IF(LEN(G376)=0,"",IF(ISNUMBER(SEARCH(",",G376)),LEN(SUBSTITUTE(G376,",","xx"))-LEN(G376)+1,1))</f>
        <v>5</v>
      </c>
      <c r="I376" s="2" t="s">
        <v>1347</v>
      </c>
      <c r="J376" s="4">
        <f t="shared" ref="J376:J407" si="35">IF(LEN(I376)=0,"",IF(ISNUMBER(SEARCH(",",I376)),LEN(SUBSTITUTE(I376,",","xx"))-LEN(I376)+1,1))</f>
        <v>10</v>
      </c>
      <c r="K376" s="3" t="s">
        <v>1348</v>
      </c>
      <c r="L376" s="3" t="s">
        <v>28</v>
      </c>
      <c r="M376" s="5">
        <v>0</v>
      </c>
      <c r="N376" s="5">
        <v>1</v>
      </c>
      <c r="O376" s="6" t="str">
        <f t="shared" ref="O376:O407" si="36">IF(AND(N376&lt;0.05,OR(AND(L376="升高改善",M376&gt;0),AND(L376="降低改善",M376&lt;0))),"校正","不校正")</f>
        <v>不校正</v>
      </c>
      <c r="P376" s="3" t="s">
        <v>1349</v>
      </c>
      <c r="Q376" s="3" t="s">
        <v>159</v>
      </c>
      <c r="R376" s="3" t="s">
        <v>160</v>
      </c>
      <c r="S376" s="3"/>
    </row>
    <row r="377" spans="1:19" ht="60" customHeight="1">
      <c r="A377" s="7" t="s">
        <v>1350</v>
      </c>
      <c r="B377" s="7" t="s">
        <v>1342</v>
      </c>
      <c r="C377" s="7" t="s">
        <v>1343</v>
      </c>
      <c r="D377" s="7" t="s">
        <v>1344</v>
      </c>
      <c r="E377" s="8" t="s">
        <v>81</v>
      </c>
      <c r="F377" s="7" t="s">
        <v>82</v>
      </c>
      <c r="G377" s="7" t="s">
        <v>1346</v>
      </c>
      <c r="H377" s="9">
        <f t="shared" si="34"/>
        <v>5</v>
      </c>
      <c r="I377" s="7" t="s">
        <v>1351</v>
      </c>
      <c r="J377" s="9">
        <f t="shared" si="35"/>
        <v>2</v>
      </c>
      <c r="K377" s="8" t="s">
        <v>1348</v>
      </c>
      <c r="L377" s="8" t="s">
        <v>28</v>
      </c>
      <c r="M377" s="10">
        <v>0</v>
      </c>
      <c r="N377" s="10">
        <v>1</v>
      </c>
      <c r="O377" s="11" t="str">
        <f t="shared" si="36"/>
        <v>不校正</v>
      </c>
      <c r="P377" s="8" t="s">
        <v>1352</v>
      </c>
      <c r="Q377" s="8" t="s">
        <v>159</v>
      </c>
      <c r="R377" s="8" t="s">
        <v>160</v>
      </c>
      <c r="S377" s="8"/>
    </row>
    <row r="378" spans="1:19" ht="60" customHeight="1">
      <c r="A378" s="7" t="s">
        <v>1353</v>
      </c>
      <c r="B378" s="7" t="s">
        <v>1342</v>
      </c>
      <c r="C378" s="7" t="s">
        <v>1354</v>
      </c>
      <c r="D378" s="7" t="s">
        <v>1344</v>
      </c>
      <c r="E378" s="8" t="s">
        <v>23</v>
      </c>
      <c r="F378" s="7" t="s">
        <v>1345</v>
      </c>
      <c r="G378" s="7" t="s">
        <v>1355</v>
      </c>
      <c r="H378" s="9">
        <f t="shared" si="34"/>
        <v>5</v>
      </c>
      <c r="I378" s="7" t="s">
        <v>1356</v>
      </c>
      <c r="J378" s="9">
        <f t="shared" si="35"/>
        <v>10</v>
      </c>
      <c r="K378" s="8" t="s">
        <v>1348</v>
      </c>
      <c r="L378" s="8" t="s">
        <v>28</v>
      </c>
      <c r="M378" s="10">
        <v>0</v>
      </c>
      <c r="N378" s="10">
        <v>1</v>
      </c>
      <c r="O378" s="11" t="str">
        <f t="shared" si="36"/>
        <v>不校正</v>
      </c>
      <c r="P378" s="8" t="s">
        <v>1357</v>
      </c>
      <c r="Q378" s="8" t="s">
        <v>159</v>
      </c>
      <c r="R378" s="8" t="s">
        <v>160</v>
      </c>
      <c r="S378" s="8"/>
    </row>
    <row r="379" spans="1:19" ht="60" customHeight="1">
      <c r="A379" s="7" t="s">
        <v>1358</v>
      </c>
      <c r="B379" s="7" t="s">
        <v>1342</v>
      </c>
      <c r="C379" s="7" t="s">
        <v>1354</v>
      </c>
      <c r="D379" s="7" t="s">
        <v>1344</v>
      </c>
      <c r="E379" s="8" t="s">
        <v>81</v>
      </c>
      <c r="F379" s="7" t="s">
        <v>82</v>
      </c>
      <c r="G379" s="7" t="s">
        <v>1355</v>
      </c>
      <c r="H379" s="9">
        <f t="shared" si="34"/>
        <v>5</v>
      </c>
      <c r="I379" s="7" t="s">
        <v>1359</v>
      </c>
      <c r="J379" s="9">
        <f t="shared" si="35"/>
        <v>2</v>
      </c>
      <c r="K379" s="8" t="s">
        <v>1348</v>
      </c>
      <c r="L379" s="8" t="s">
        <v>28</v>
      </c>
      <c r="M379" s="10">
        <v>0</v>
      </c>
      <c r="N379" s="10">
        <v>1</v>
      </c>
      <c r="O379" s="11" t="str">
        <f t="shared" si="36"/>
        <v>不校正</v>
      </c>
      <c r="P379" s="8" t="s">
        <v>1360</v>
      </c>
      <c r="Q379" s="8" t="s">
        <v>159</v>
      </c>
      <c r="R379" s="8" t="s">
        <v>160</v>
      </c>
      <c r="S379" s="8"/>
    </row>
    <row r="380" spans="1:19" ht="60" customHeight="1">
      <c r="A380" s="7" t="s">
        <v>1361</v>
      </c>
      <c r="B380" s="7" t="s">
        <v>1342</v>
      </c>
      <c r="C380" s="7" t="s">
        <v>1362</v>
      </c>
      <c r="D380" s="7" t="s">
        <v>1344</v>
      </c>
      <c r="E380" s="8" t="s">
        <v>23</v>
      </c>
      <c r="F380" s="7" t="s">
        <v>1345</v>
      </c>
      <c r="G380" s="7" t="s">
        <v>1363</v>
      </c>
      <c r="H380" s="9">
        <f t="shared" si="34"/>
        <v>7</v>
      </c>
      <c r="I380" s="7" t="s">
        <v>1364</v>
      </c>
      <c r="J380" s="9">
        <f t="shared" si="35"/>
        <v>10</v>
      </c>
      <c r="K380" s="8" t="s">
        <v>1348</v>
      </c>
      <c r="L380" s="8" t="s">
        <v>28</v>
      </c>
      <c r="M380" s="10">
        <v>0.29277002188455997</v>
      </c>
      <c r="N380" s="10">
        <v>0.36205019220035833</v>
      </c>
      <c r="O380" s="11" t="str">
        <f t="shared" si="36"/>
        <v>不校正</v>
      </c>
      <c r="P380" s="8" t="s">
        <v>1365</v>
      </c>
      <c r="Q380" s="8" t="s">
        <v>159</v>
      </c>
      <c r="R380" s="8" t="s">
        <v>160</v>
      </c>
      <c r="S380" s="8"/>
    </row>
    <row r="381" spans="1:19" ht="60" customHeight="1">
      <c r="A381" s="7" t="s">
        <v>1366</v>
      </c>
      <c r="B381" s="7" t="s">
        <v>1342</v>
      </c>
      <c r="C381" s="7" t="s">
        <v>1362</v>
      </c>
      <c r="D381" s="7" t="s">
        <v>1344</v>
      </c>
      <c r="E381" s="8" t="s">
        <v>81</v>
      </c>
      <c r="F381" s="7" t="s">
        <v>82</v>
      </c>
      <c r="G381" s="7" t="s">
        <v>1363</v>
      </c>
      <c r="H381" s="9">
        <f t="shared" si="34"/>
        <v>7</v>
      </c>
      <c r="I381" s="7" t="s">
        <v>1367</v>
      </c>
      <c r="J381" s="9">
        <f t="shared" si="35"/>
        <v>2</v>
      </c>
      <c r="K381" s="8" t="s">
        <v>1348</v>
      </c>
      <c r="L381" s="8" t="s">
        <v>28</v>
      </c>
      <c r="M381" s="10">
        <v>0.29277002188455997</v>
      </c>
      <c r="N381" s="10">
        <v>0.36205019220035833</v>
      </c>
      <c r="O381" s="11" t="str">
        <f t="shared" si="36"/>
        <v>不校正</v>
      </c>
      <c r="P381" s="8" t="s">
        <v>1368</v>
      </c>
      <c r="Q381" s="8" t="s">
        <v>159</v>
      </c>
      <c r="R381" s="8" t="s">
        <v>160</v>
      </c>
      <c r="S381" s="8"/>
    </row>
    <row r="382" spans="1:19" ht="60" customHeight="1">
      <c r="A382" s="7" t="s">
        <v>1369</v>
      </c>
      <c r="B382" s="7" t="s">
        <v>1342</v>
      </c>
      <c r="C382" s="7" t="s">
        <v>1370</v>
      </c>
      <c r="D382" s="7" t="s">
        <v>1344</v>
      </c>
      <c r="E382" s="8" t="s">
        <v>23</v>
      </c>
      <c r="F382" s="7" t="s">
        <v>1345</v>
      </c>
      <c r="G382" s="7" t="s">
        <v>1371</v>
      </c>
      <c r="H382" s="9">
        <f t="shared" si="34"/>
        <v>7</v>
      </c>
      <c r="I382" s="7" t="s">
        <v>1372</v>
      </c>
      <c r="J382" s="9">
        <f t="shared" si="35"/>
        <v>10</v>
      </c>
      <c r="K382" s="8" t="s">
        <v>1348</v>
      </c>
      <c r="L382" s="8" t="s">
        <v>28</v>
      </c>
      <c r="M382" s="10">
        <v>0.15877683720748895</v>
      </c>
      <c r="N382" s="10">
        <v>0.63383893138375791</v>
      </c>
      <c r="O382" s="11" t="str">
        <f t="shared" si="36"/>
        <v>不校正</v>
      </c>
      <c r="P382" s="8" t="s">
        <v>1373</v>
      </c>
      <c r="Q382" s="8" t="s">
        <v>159</v>
      </c>
      <c r="R382" s="8" t="s">
        <v>160</v>
      </c>
      <c r="S382" s="8"/>
    </row>
    <row r="383" spans="1:19" ht="60" customHeight="1">
      <c r="A383" s="7" t="s">
        <v>1374</v>
      </c>
      <c r="B383" s="7" t="s">
        <v>1342</v>
      </c>
      <c r="C383" s="7" t="s">
        <v>1370</v>
      </c>
      <c r="D383" s="7" t="s">
        <v>1344</v>
      </c>
      <c r="E383" s="8" t="s">
        <v>81</v>
      </c>
      <c r="F383" s="7" t="s">
        <v>82</v>
      </c>
      <c r="G383" s="7" t="s">
        <v>1371</v>
      </c>
      <c r="H383" s="9">
        <f t="shared" si="34"/>
        <v>7</v>
      </c>
      <c r="I383" s="7" t="s">
        <v>1375</v>
      </c>
      <c r="J383" s="9">
        <f t="shared" si="35"/>
        <v>2</v>
      </c>
      <c r="K383" s="8" t="s">
        <v>1348</v>
      </c>
      <c r="L383" s="8" t="s">
        <v>28</v>
      </c>
      <c r="M383" s="10">
        <v>0.15877683720748895</v>
      </c>
      <c r="N383" s="10">
        <v>0.63383893138375791</v>
      </c>
      <c r="O383" s="11" t="str">
        <f t="shared" si="36"/>
        <v>不校正</v>
      </c>
      <c r="P383" s="8" t="s">
        <v>1376</v>
      </c>
      <c r="Q383" s="8" t="s">
        <v>159</v>
      </c>
      <c r="R383" s="8" t="s">
        <v>160</v>
      </c>
      <c r="S383" s="8"/>
    </row>
    <row r="384" spans="1:19" ht="60" customHeight="1">
      <c r="A384" s="7" t="s">
        <v>1377</v>
      </c>
      <c r="B384" s="7" t="s">
        <v>1342</v>
      </c>
      <c r="C384" s="7" t="s">
        <v>1378</v>
      </c>
      <c r="D384" s="7" t="s">
        <v>1344</v>
      </c>
      <c r="E384" s="8" t="s">
        <v>23</v>
      </c>
      <c r="F384" s="7" t="s">
        <v>1345</v>
      </c>
      <c r="G384" s="7" t="s">
        <v>1379</v>
      </c>
      <c r="H384" s="9">
        <f t="shared" si="34"/>
        <v>9</v>
      </c>
      <c r="I384" s="7" t="s">
        <v>1380</v>
      </c>
      <c r="J384" s="9">
        <f t="shared" si="35"/>
        <v>10</v>
      </c>
      <c r="K384" s="8" t="s">
        <v>1348</v>
      </c>
      <c r="L384" s="8" t="s">
        <v>28</v>
      </c>
      <c r="M384" s="10">
        <v>-0.25197631533948478</v>
      </c>
      <c r="N384" s="10">
        <v>0.37504362355861293</v>
      </c>
      <c r="O384" s="11" t="str">
        <f t="shared" si="36"/>
        <v>不校正</v>
      </c>
      <c r="P384" s="8" t="s">
        <v>1381</v>
      </c>
      <c r="Q384" s="8" t="s">
        <v>159</v>
      </c>
      <c r="R384" s="8" t="s">
        <v>160</v>
      </c>
      <c r="S384" s="8"/>
    </row>
    <row r="385" spans="1:19" ht="60" customHeight="1">
      <c r="A385" s="7" t="s">
        <v>1382</v>
      </c>
      <c r="B385" s="7" t="s">
        <v>1342</v>
      </c>
      <c r="C385" s="7" t="s">
        <v>1378</v>
      </c>
      <c r="D385" s="7" t="s">
        <v>1344</v>
      </c>
      <c r="E385" s="8" t="s">
        <v>81</v>
      </c>
      <c r="F385" s="7" t="s">
        <v>82</v>
      </c>
      <c r="G385" s="7" t="s">
        <v>1379</v>
      </c>
      <c r="H385" s="9">
        <f t="shared" si="34"/>
        <v>9</v>
      </c>
      <c r="I385" s="7" t="s">
        <v>1383</v>
      </c>
      <c r="J385" s="9">
        <f t="shared" si="35"/>
        <v>2</v>
      </c>
      <c r="K385" s="8" t="s">
        <v>1348</v>
      </c>
      <c r="L385" s="8" t="s">
        <v>28</v>
      </c>
      <c r="M385" s="10">
        <v>-0.25197631533948478</v>
      </c>
      <c r="N385" s="10">
        <v>0.37504362355861293</v>
      </c>
      <c r="O385" s="11" t="str">
        <f t="shared" si="36"/>
        <v>不校正</v>
      </c>
      <c r="P385" s="8" t="s">
        <v>1384</v>
      </c>
      <c r="Q385" s="8" t="s">
        <v>159</v>
      </c>
      <c r="R385" s="8" t="s">
        <v>160</v>
      </c>
      <c r="S385" s="8"/>
    </row>
    <row r="386" spans="1:19" ht="60" customHeight="1">
      <c r="A386" s="7" t="s">
        <v>1385</v>
      </c>
      <c r="B386" s="7" t="s">
        <v>1342</v>
      </c>
      <c r="C386" s="7" t="s">
        <v>1343</v>
      </c>
      <c r="D386" s="7" t="s">
        <v>1386</v>
      </c>
      <c r="E386" s="8" t="s">
        <v>23</v>
      </c>
      <c r="F386" s="7" t="s">
        <v>1345</v>
      </c>
      <c r="G386" s="7" t="s">
        <v>1387</v>
      </c>
      <c r="H386" s="9">
        <f t="shared" si="34"/>
        <v>5</v>
      </c>
      <c r="I386" s="7" t="s">
        <v>1388</v>
      </c>
      <c r="J386" s="9">
        <f t="shared" si="35"/>
        <v>10</v>
      </c>
      <c r="K386" s="8" t="s">
        <v>1348</v>
      </c>
      <c r="L386" s="8" t="s">
        <v>101</v>
      </c>
      <c r="M386" s="10">
        <v>-0.10540925533894598</v>
      </c>
      <c r="N386" s="10">
        <v>0.80054210742312626</v>
      </c>
      <c r="O386" s="11" t="str">
        <f t="shared" si="36"/>
        <v>不校正</v>
      </c>
      <c r="P386" s="8" t="s">
        <v>1389</v>
      </c>
      <c r="Q386" s="8" t="s">
        <v>159</v>
      </c>
      <c r="R386" s="8" t="s">
        <v>160</v>
      </c>
      <c r="S386" s="8"/>
    </row>
    <row r="387" spans="1:19" ht="60" customHeight="1">
      <c r="A387" s="7" t="s">
        <v>1390</v>
      </c>
      <c r="B387" s="7" t="s">
        <v>1342</v>
      </c>
      <c r="C387" s="7" t="s">
        <v>1343</v>
      </c>
      <c r="D387" s="7" t="s">
        <v>1386</v>
      </c>
      <c r="E387" s="8" t="s">
        <v>81</v>
      </c>
      <c r="F387" s="7" t="s">
        <v>82</v>
      </c>
      <c r="G387" s="7" t="s">
        <v>1387</v>
      </c>
      <c r="H387" s="9">
        <f t="shared" si="34"/>
        <v>5</v>
      </c>
      <c r="I387" s="7" t="s">
        <v>1391</v>
      </c>
      <c r="J387" s="9">
        <f t="shared" si="35"/>
        <v>2</v>
      </c>
      <c r="K387" s="8" t="s">
        <v>1348</v>
      </c>
      <c r="L387" s="8" t="s">
        <v>101</v>
      </c>
      <c r="M387" s="10">
        <v>-0.10540925533894598</v>
      </c>
      <c r="N387" s="10">
        <v>0.80054210742312626</v>
      </c>
      <c r="O387" s="11" t="str">
        <f t="shared" si="36"/>
        <v>不校正</v>
      </c>
      <c r="P387" s="8" t="s">
        <v>1392</v>
      </c>
      <c r="Q387" s="8" t="s">
        <v>159</v>
      </c>
      <c r="R387" s="8" t="s">
        <v>160</v>
      </c>
      <c r="S387" s="8"/>
    </row>
    <row r="388" spans="1:19" ht="60" customHeight="1">
      <c r="A388" s="7" t="s">
        <v>1393</v>
      </c>
      <c r="B388" s="7" t="s">
        <v>1342</v>
      </c>
      <c r="C388" s="7" t="s">
        <v>1354</v>
      </c>
      <c r="D388" s="7" t="s">
        <v>1386</v>
      </c>
      <c r="E388" s="8" t="s">
        <v>23</v>
      </c>
      <c r="F388" s="7" t="s">
        <v>1345</v>
      </c>
      <c r="G388" s="7" t="s">
        <v>1394</v>
      </c>
      <c r="H388" s="9">
        <f t="shared" si="34"/>
        <v>5</v>
      </c>
      <c r="I388" s="7" t="s">
        <v>1395</v>
      </c>
      <c r="J388" s="9">
        <f t="shared" si="35"/>
        <v>10</v>
      </c>
      <c r="K388" s="8" t="s">
        <v>1348</v>
      </c>
      <c r="L388" s="8" t="s">
        <v>101</v>
      </c>
      <c r="M388" s="10">
        <v>0.22360679774997896</v>
      </c>
      <c r="N388" s="10">
        <v>0.60150813444058993</v>
      </c>
      <c r="O388" s="11" t="str">
        <f t="shared" si="36"/>
        <v>不校正</v>
      </c>
      <c r="P388" s="8" t="s">
        <v>1396</v>
      </c>
      <c r="Q388" s="8" t="s">
        <v>159</v>
      </c>
      <c r="R388" s="8" t="s">
        <v>160</v>
      </c>
      <c r="S388" s="8"/>
    </row>
    <row r="389" spans="1:19" ht="60" customHeight="1">
      <c r="A389" s="7" t="s">
        <v>1397</v>
      </c>
      <c r="B389" s="7" t="s">
        <v>1342</v>
      </c>
      <c r="C389" s="7" t="s">
        <v>1354</v>
      </c>
      <c r="D389" s="7" t="s">
        <v>1386</v>
      </c>
      <c r="E389" s="8" t="s">
        <v>81</v>
      </c>
      <c r="F389" s="7" t="s">
        <v>82</v>
      </c>
      <c r="G389" s="7" t="s">
        <v>1394</v>
      </c>
      <c r="H389" s="9">
        <f t="shared" si="34"/>
        <v>5</v>
      </c>
      <c r="I389" s="7" t="s">
        <v>774</v>
      </c>
      <c r="J389" s="9">
        <f t="shared" si="35"/>
        <v>2</v>
      </c>
      <c r="K389" s="8" t="s">
        <v>1348</v>
      </c>
      <c r="L389" s="8" t="s">
        <v>101</v>
      </c>
      <c r="M389" s="10">
        <v>0.22360679774997896</v>
      </c>
      <c r="N389" s="10">
        <v>0.60150813444058993</v>
      </c>
      <c r="O389" s="11" t="str">
        <f t="shared" si="36"/>
        <v>不校正</v>
      </c>
      <c r="P389" s="8" t="s">
        <v>1398</v>
      </c>
      <c r="Q389" s="8" t="s">
        <v>159</v>
      </c>
      <c r="R389" s="8" t="s">
        <v>160</v>
      </c>
      <c r="S389" s="8"/>
    </row>
    <row r="390" spans="1:19" ht="60" customHeight="1">
      <c r="A390" s="7" t="s">
        <v>1399</v>
      </c>
      <c r="B390" s="7" t="s">
        <v>1342</v>
      </c>
      <c r="C390" s="7" t="s">
        <v>1362</v>
      </c>
      <c r="D390" s="7" t="s">
        <v>1386</v>
      </c>
      <c r="E390" s="8" t="s">
        <v>23</v>
      </c>
      <c r="F390" s="7" t="s">
        <v>1345</v>
      </c>
      <c r="G390" s="7" t="s">
        <v>1400</v>
      </c>
      <c r="H390" s="9">
        <f t="shared" si="34"/>
        <v>7</v>
      </c>
      <c r="I390" s="7" t="s">
        <v>1401</v>
      </c>
      <c r="J390" s="9">
        <f t="shared" si="35"/>
        <v>10</v>
      </c>
      <c r="K390" s="8" t="s">
        <v>1348</v>
      </c>
      <c r="L390" s="8" t="s">
        <v>101</v>
      </c>
      <c r="M390" s="10">
        <v>-5.0062617432175889E-2</v>
      </c>
      <c r="N390" s="10">
        <v>0.87785049871032683</v>
      </c>
      <c r="O390" s="11" t="str">
        <f t="shared" si="36"/>
        <v>不校正</v>
      </c>
      <c r="P390" s="8" t="s">
        <v>1402</v>
      </c>
      <c r="Q390" s="8" t="s">
        <v>159</v>
      </c>
      <c r="R390" s="8" t="s">
        <v>160</v>
      </c>
      <c r="S390" s="8"/>
    </row>
    <row r="391" spans="1:19" ht="60" customHeight="1">
      <c r="A391" s="7" t="s">
        <v>1403</v>
      </c>
      <c r="B391" s="7" t="s">
        <v>1342</v>
      </c>
      <c r="C391" s="7" t="s">
        <v>1362</v>
      </c>
      <c r="D391" s="7" t="s">
        <v>1386</v>
      </c>
      <c r="E391" s="8" t="s">
        <v>81</v>
      </c>
      <c r="F391" s="7" t="s">
        <v>82</v>
      </c>
      <c r="G391" s="7" t="s">
        <v>1400</v>
      </c>
      <c r="H391" s="9">
        <f t="shared" si="34"/>
        <v>7</v>
      </c>
      <c r="I391" s="7" t="s">
        <v>1391</v>
      </c>
      <c r="J391" s="9">
        <f t="shared" si="35"/>
        <v>2</v>
      </c>
      <c r="K391" s="8" t="s">
        <v>1348</v>
      </c>
      <c r="L391" s="8" t="s">
        <v>101</v>
      </c>
      <c r="M391" s="10">
        <v>-5.0062617432175889E-2</v>
      </c>
      <c r="N391" s="10">
        <v>0.87785049871032683</v>
      </c>
      <c r="O391" s="11" t="str">
        <f t="shared" si="36"/>
        <v>不校正</v>
      </c>
      <c r="P391" s="8" t="s">
        <v>1404</v>
      </c>
      <c r="Q391" s="8" t="s">
        <v>159</v>
      </c>
      <c r="R391" s="8" t="s">
        <v>160</v>
      </c>
      <c r="S391" s="8"/>
    </row>
    <row r="392" spans="1:19" ht="60" customHeight="1">
      <c r="A392" s="7" t="s">
        <v>1405</v>
      </c>
      <c r="B392" s="7" t="s">
        <v>1342</v>
      </c>
      <c r="C392" s="7" t="s">
        <v>1370</v>
      </c>
      <c r="D392" s="7" t="s">
        <v>1386</v>
      </c>
      <c r="E392" s="8" t="s">
        <v>23</v>
      </c>
      <c r="F392" s="7" t="s">
        <v>1345</v>
      </c>
      <c r="G392" s="7" t="s">
        <v>1406</v>
      </c>
      <c r="H392" s="9">
        <f t="shared" si="34"/>
        <v>7</v>
      </c>
      <c r="I392" s="7" t="s">
        <v>1407</v>
      </c>
      <c r="J392" s="9">
        <f t="shared" si="35"/>
        <v>10</v>
      </c>
      <c r="K392" s="8" t="s">
        <v>1348</v>
      </c>
      <c r="L392" s="8" t="s">
        <v>101</v>
      </c>
      <c r="M392" s="10">
        <v>5.6343616981901101E-2</v>
      </c>
      <c r="N392" s="10">
        <v>0.86702096518234584</v>
      </c>
      <c r="O392" s="11" t="str">
        <f t="shared" si="36"/>
        <v>不校正</v>
      </c>
      <c r="P392" s="8" t="s">
        <v>1408</v>
      </c>
      <c r="Q392" s="8" t="s">
        <v>159</v>
      </c>
      <c r="R392" s="8" t="s">
        <v>160</v>
      </c>
      <c r="S392" s="8"/>
    </row>
    <row r="393" spans="1:19" ht="60" customHeight="1">
      <c r="A393" s="7" t="s">
        <v>1409</v>
      </c>
      <c r="B393" s="7" t="s">
        <v>1342</v>
      </c>
      <c r="C393" s="7" t="s">
        <v>1370</v>
      </c>
      <c r="D393" s="7" t="s">
        <v>1386</v>
      </c>
      <c r="E393" s="8" t="s">
        <v>81</v>
      </c>
      <c r="F393" s="7" t="s">
        <v>82</v>
      </c>
      <c r="G393" s="7" t="s">
        <v>1406</v>
      </c>
      <c r="H393" s="9">
        <f t="shared" si="34"/>
        <v>7</v>
      </c>
      <c r="I393" s="7" t="s">
        <v>774</v>
      </c>
      <c r="J393" s="9">
        <f t="shared" si="35"/>
        <v>2</v>
      </c>
      <c r="K393" s="8" t="s">
        <v>1348</v>
      </c>
      <c r="L393" s="8" t="s">
        <v>101</v>
      </c>
      <c r="M393" s="10">
        <v>5.6343616981901101E-2</v>
      </c>
      <c r="N393" s="10">
        <v>0.86702096518234584</v>
      </c>
      <c r="O393" s="11" t="str">
        <f t="shared" si="36"/>
        <v>不校正</v>
      </c>
      <c r="P393" s="8" t="s">
        <v>1410</v>
      </c>
      <c r="Q393" s="8" t="s">
        <v>159</v>
      </c>
      <c r="R393" s="8" t="s">
        <v>160</v>
      </c>
      <c r="S393" s="8"/>
    </row>
    <row r="394" spans="1:19" ht="60" customHeight="1">
      <c r="A394" s="7" t="s">
        <v>1411</v>
      </c>
      <c r="B394" s="7" t="s">
        <v>1342</v>
      </c>
      <c r="C394" s="7" t="s">
        <v>1378</v>
      </c>
      <c r="D394" s="7" t="s">
        <v>1386</v>
      </c>
      <c r="E394" s="8" t="s">
        <v>23</v>
      </c>
      <c r="F394" s="7" t="s">
        <v>1345</v>
      </c>
      <c r="G394" s="7" t="s">
        <v>1412</v>
      </c>
      <c r="H394" s="9">
        <f t="shared" si="34"/>
        <v>9</v>
      </c>
      <c r="I394" s="7" t="s">
        <v>1413</v>
      </c>
      <c r="J394" s="9">
        <f t="shared" si="35"/>
        <v>10</v>
      </c>
      <c r="K394" s="8" t="s">
        <v>1348</v>
      </c>
      <c r="L394" s="8" t="s">
        <v>101</v>
      </c>
      <c r="M394" s="10">
        <v>-0.44901325506693723</v>
      </c>
      <c r="N394" s="10">
        <v>0.10644806036334832</v>
      </c>
      <c r="O394" s="11" t="str">
        <f t="shared" si="36"/>
        <v>不校正</v>
      </c>
      <c r="P394" s="8" t="s">
        <v>1414</v>
      </c>
      <c r="Q394" s="8" t="s">
        <v>159</v>
      </c>
      <c r="R394" s="8" t="s">
        <v>160</v>
      </c>
      <c r="S394" s="8"/>
    </row>
    <row r="395" spans="1:19" ht="60" customHeight="1">
      <c r="A395" s="7" t="s">
        <v>1415</v>
      </c>
      <c r="B395" s="7" t="s">
        <v>1342</v>
      </c>
      <c r="C395" s="7" t="s">
        <v>1378</v>
      </c>
      <c r="D395" s="7" t="s">
        <v>1386</v>
      </c>
      <c r="E395" s="8" t="s">
        <v>81</v>
      </c>
      <c r="F395" s="7" t="s">
        <v>82</v>
      </c>
      <c r="G395" s="7" t="s">
        <v>1412</v>
      </c>
      <c r="H395" s="9">
        <f t="shared" si="34"/>
        <v>9</v>
      </c>
      <c r="I395" s="7" t="s">
        <v>774</v>
      </c>
      <c r="J395" s="9">
        <f t="shared" si="35"/>
        <v>2</v>
      </c>
      <c r="K395" s="8" t="s">
        <v>1348</v>
      </c>
      <c r="L395" s="8" t="s">
        <v>101</v>
      </c>
      <c r="M395" s="10">
        <v>-0.44901325506693723</v>
      </c>
      <c r="N395" s="10">
        <v>0.10644806036334832</v>
      </c>
      <c r="O395" s="11" t="str">
        <f t="shared" si="36"/>
        <v>不校正</v>
      </c>
      <c r="P395" s="8" t="s">
        <v>1416</v>
      </c>
      <c r="Q395" s="8" t="s">
        <v>159</v>
      </c>
      <c r="R395" s="8" t="s">
        <v>160</v>
      </c>
      <c r="S395" s="8"/>
    </row>
    <row r="396" spans="1:19" ht="60" customHeight="1">
      <c r="A396" s="7" t="s">
        <v>1417</v>
      </c>
      <c r="B396" s="7" t="s">
        <v>1342</v>
      </c>
      <c r="C396" s="7" t="s">
        <v>1343</v>
      </c>
      <c r="D396" s="7" t="s">
        <v>1418</v>
      </c>
      <c r="E396" s="8" t="s">
        <v>23</v>
      </c>
      <c r="F396" s="7" t="s">
        <v>1345</v>
      </c>
      <c r="G396" s="7" t="s">
        <v>1419</v>
      </c>
      <c r="H396" s="9">
        <f t="shared" si="34"/>
        <v>5</v>
      </c>
      <c r="I396" s="7" t="s">
        <v>1420</v>
      </c>
      <c r="J396" s="9">
        <f t="shared" si="35"/>
        <v>10</v>
      </c>
      <c r="K396" s="8" t="s">
        <v>1348</v>
      </c>
      <c r="L396" s="8" t="s">
        <v>28</v>
      </c>
      <c r="M396" s="10">
        <v>0.59761430466719678</v>
      </c>
      <c r="N396" s="10">
        <v>0.16551785869747002</v>
      </c>
      <c r="O396" s="11" t="str">
        <f t="shared" si="36"/>
        <v>不校正</v>
      </c>
      <c r="P396" s="8" t="s">
        <v>1421</v>
      </c>
      <c r="Q396" s="8" t="s">
        <v>159</v>
      </c>
      <c r="R396" s="8" t="s">
        <v>160</v>
      </c>
      <c r="S396" s="8"/>
    </row>
    <row r="397" spans="1:19" ht="60" customHeight="1">
      <c r="A397" s="7" t="s">
        <v>1422</v>
      </c>
      <c r="B397" s="7" t="s">
        <v>1342</v>
      </c>
      <c r="C397" s="7" t="s">
        <v>1343</v>
      </c>
      <c r="D397" s="7" t="s">
        <v>1418</v>
      </c>
      <c r="E397" s="8" t="s">
        <v>81</v>
      </c>
      <c r="F397" s="7" t="s">
        <v>82</v>
      </c>
      <c r="G397" s="7" t="s">
        <v>1419</v>
      </c>
      <c r="H397" s="9">
        <f t="shared" si="34"/>
        <v>5</v>
      </c>
      <c r="I397" s="7" t="s">
        <v>1423</v>
      </c>
      <c r="J397" s="9">
        <f t="shared" si="35"/>
        <v>2</v>
      </c>
      <c r="K397" s="8" t="s">
        <v>1348</v>
      </c>
      <c r="L397" s="8" t="s">
        <v>28</v>
      </c>
      <c r="M397" s="10">
        <v>0.59761430466719678</v>
      </c>
      <c r="N397" s="10">
        <v>0.16551785869747002</v>
      </c>
      <c r="O397" s="11" t="str">
        <f t="shared" si="36"/>
        <v>不校正</v>
      </c>
      <c r="P397" s="8" t="s">
        <v>1424</v>
      </c>
      <c r="Q397" s="8" t="s">
        <v>159</v>
      </c>
      <c r="R397" s="8" t="s">
        <v>160</v>
      </c>
      <c r="S397" s="8"/>
    </row>
    <row r="398" spans="1:19" ht="60" customHeight="1">
      <c r="A398" s="7" t="s">
        <v>1425</v>
      </c>
      <c r="B398" s="7" t="s">
        <v>1342</v>
      </c>
      <c r="C398" s="7" t="s">
        <v>1354</v>
      </c>
      <c r="D398" s="7" t="s">
        <v>1418</v>
      </c>
      <c r="E398" s="8" t="s">
        <v>23</v>
      </c>
      <c r="F398" s="7" t="s">
        <v>1345</v>
      </c>
      <c r="G398" s="7" t="s">
        <v>1426</v>
      </c>
      <c r="H398" s="9">
        <f t="shared" si="34"/>
        <v>5</v>
      </c>
      <c r="I398" s="7" t="s">
        <v>1427</v>
      </c>
      <c r="J398" s="9">
        <f t="shared" si="35"/>
        <v>10</v>
      </c>
      <c r="K398" s="8" t="s">
        <v>1348</v>
      </c>
      <c r="L398" s="8" t="s">
        <v>28</v>
      </c>
      <c r="M398" s="10">
        <v>-0.22360679774997896</v>
      </c>
      <c r="N398" s="10">
        <v>0.60150813444058993</v>
      </c>
      <c r="O398" s="11" t="str">
        <f t="shared" si="36"/>
        <v>不校正</v>
      </c>
      <c r="P398" s="8" t="s">
        <v>1428</v>
      </c>
      <c r="Q398" s="8" t="s">
        <v>159</v>
      </c>
      <c r="R398" s="8" t="s">
        <v>160</v>
      </c>
      <c r="S398" s="8"/>
    </row>
    <row r="399" spans="1:19" ht="60" customHeight="1">
      <c r="A399" s="7" t="s">
        <v>1429</v>
      </c>
      <c r="B399" s="7" t="s">
        <v>1342</v>
      </c>
      <c r="C399" s="7" t="s">
        <v>1354</v>
      </c>
      <c r="D399" s="7" t="s">
        <v>1418</v>
      </c>
      <c r="E399" s="8" t="s">
        <v>81</v>
      </c>
      <c r="F399" s="7" t="s">
        <v>82</v>
      </c>
      <c r="G399" s="7" t="s">
        <v>1426</v>
      </c>
      <c r="H399" s="9">
        <f t="shared" si="34"/>
        <v>5</v>
      </c>
      <c r="I399" s="7" t="s">
        <v>1430</v>
      </c>
      <c r="J399" s="9">
        <f t="shared" si="35"/>
        <v>2</v>
      </c>
      <c r="K399" s="8" t="s">
        <v>1348</v>
      </c>
      <c r="L399" s="8" t="s">
        <v>28</v>
      </c>
      <c r="M399" s="10">
        <v>-0.22360679774997896</v>
      </c>
      <c r="N399" s="10">
        <v>0.60150813444058993</v>
      </c>
      <c r="O399" s="11" t="str">
        <f t="shared" si="36"/>
        <v>不校正</v>
      </c>
      <c r="P399" s="8" t="s">
        <v>1431</v>
      </c>
      <c r="Q399" s="8" t="s">
        <v>159</v>
      </c>
      <c r="R399" s="8" t="s">
        <v>160</v>
      </c>
      <c r="S399" s="8"/>
    </row>
    <row r="400" spans="1:19" ht="60" customHeight="1">
      <c r="A400" s="7" t="s">
        <v>1432</v>
      </c>
      <c r="B400" s="7" t="s">
        <v>1342</v>
      </c>
      <c r="C400" s="7" t="s">
        <v>1362</v>
      </c>
      <c r="D400" s="7" t="s">
        <v>1418</v>
      </c>
      <c r="E400" s="8" t="s">
        <v>23</v>
      </c>
      <c r="F400" s="7" t="s">
        <v>1345</v>
      </c>
      <c r="G400" s="7" t="s">
        <v>1433</v>
      </c>
      <c r="H400" s="9">
        <f t="shared" si="34"/>
        <v>7</v>
      </c>
      <c r="I400" s="7" t="s">
        <v>1434</v>
      </c>
      <c r="J400" s="9">
        <f t="shared" si="35"/>
        <v>10</v>
      </c>
      <c r="K400" s="8" t="s">
        <v>1348</v>
      </c>
      <c r="L400" s="8" t="s">
        <v>28</v>
      </c>
      <c r="M400" s="10">
        <v>-0.26462806201248157</v>
      </c>
      <c r="N400" s="10">
        <v>0.4272628567457063</v>
      </c>
      <c r="O400" s="11" t="str">
        <f t="shared" si="36"/>
        <v>不校正</v>
      </c>
      <c r="P400" s="8" t="s">
        <v>1435</v>
      </c>
      <c r="Q400" s="8" t="s">
        <v>159</v>
      </c>
      <c r="R400" s="8" t="s">
        <v>160</v>
      </c>
      <c r="S400" s="8"/>
    </row>
    <row r="401" spans="1:19" ht="60" customHeight="1">
      <c r="A401" s="7" t="s">
        <v>1436</v>
      </c>
      <c r="B401" s="7" t="s">
        <v>1342</v>
      </c>
      <c r="C401" s="7" t="s">
        <v>1362</v>
      </c>
      <c r="D401" s="7" t="s">
        <v>1418</v>
      </c>
      <c r="E401" s="8" t="s">
        <v>81</v>
      </c>
      <c r="F401" s="7" t="s">
        <v>82</v>
      </c>
      <c r="G401" s="7" t="s">
        <v>1433</v>
      </c>
      <c r="H401" s="9">
        <f t="shared" si="34"/>
        <v>7</v>
      </c>
      <c r="I401" s="7" t="s">
        <v>1367</v>
      </c>
      <c r="J401" s="9">
        <f t="shared" si="35"/>
        <v>2</v>
      </c>
      <c r="K401" s="8" t="s">
        <v>1348</v>
      </c>
      <c r="L401" s="8" t="s">
        <v>28</v>
      </c>
      <c r="M401" s="10">
        <v>-0.26462806201248157</v>
      </c>
      <c r="N401" s="10">
        <v>0.4272628567457063</v>
      </c>
      <c r="O401" s="11" t="str">
        <f t="shared" si="36"/>
        <v>不校正</v>
      </c>
      <c r="P401" s="8" t="s">
        <v>1437</v>
      </c>
      <c r="Q401" s="8" t="s">
        <v>159</v>
      </c>
      <c r="R401" s="8" t="s">
        <v>160</v>
      </c>
      <c r="S401" s="8"/>
    </row>
    <row r="402" spans="1:19" ht="60" customHeight="1">
      <c r="A402" s="7" t="s">
        <v>1438</v>
      </c>
      <c r="B402" s="7" t="s">
        <v>1342</v>
      </c>
      <c r="C402" s="7" t="s">
        <v>1370</v>
      </c>
      <c r="D402" s="7" t="s">
        <v>1418</v>
      </c>
      <c r="E402" s="8" t="s">
        <v>23</v>
      </c>
      <c r="F402" s="7" t="s">
        <v>1345</v>
      </c>
      <c r="G402" s="7" t="s">
        <v>1439</v>
      </c>
      <c r="H402" s="9">
        <f t="shared" si="34"/>
        <v>7</v>
      </c>
      <c r="I402" s="7" t="s">
        <v>1440</v>
      </c>
      <c r="J402" s="9">
        <f t="shared" si="35"/>
        <v>10</v>
      </c>
      <c r="K402" s="8" t="s">
        <v>1348</v>
      </c>
      <c r="L402" s="8" t="s">
        <v>28</v>
      </c>
      <c r="M402" s="10">
        <v>-0.10286889997472794</v>
      </c>
      <c r="N402" s="10">
        <v>0.75573561757372698</v>
      </c>
      <c r="O402" s="11" t="str">
        <f t="shared" si="36"/>
        <v>不校正</v>
      </c>
      <c r="P402" s="8" t="s">
        <v>1441</v>
      </c>
      <c r="Q402" s="8" t="s">
        <v>159</v>
      </c>
      <c r="R402" s="8" t="s">
        <v>160</v>
      </c>
      <c r="S402" s="8"/>
    </row>
    <row r="403" spans="1:19" ht="60" customHeight="1">
      <c r="A403" s="7" t="s">
        <v>1442</v>
      </c>
      <c r="B403" s="7" t="s">
        <v>1342</v>
      </c>
      <c r="C403" s="7" t="s">
        <v>1370</v>
      </c>
      <c r="D403" s="7" t="s">
        <v>1418</v>
      </c>
      <c r="E403" s="8" t="s">
        <v>81</v>
      </c>
      <c r="F403" s="7" t="s">
        <v>82</v>
      </c>
      <c r="G403" s="7" t="s">
        <v>1439</v>
      </c>
      <c r="H403" s="9">
        <f t="shared" si="34"/>
        <v>7</v>
      </c>
      <c r="I403" s="7" t="s">
        <v>1443</v>
      </c>
      <c r="J403" s="9">
        <f t="shared" si="35"/>
        <v>2</v>
      </c>
      <c r="K403" s="8" t="s">
        <v>1348</v>
      </c>
      <c r="L403" s="8" t="s">
        <v>28</v>
      </c>
      <c r="M403" s="10">
        <v>-0.10286889997472794</v>
      </c>
      <c r="N403" s="10">
        <v>0.75573561757372698</v>
      </c>
      <c r="O403" s="11" t="str">
        <f t="shared" si="36"/>
        <v>不校正</v>
      </c>
      <c r="P403" s="8" t="s">
        <v>1444</v>
      </c>
      <c r="Q403" s="8" t="s">
        <v>159</v>
      </c>
      <c r="R403" s="8" t="s">
        <v>160</v>
      </c>
      <c r="S403" s="8"/>
    </row>
    <row r="404" spans="1:19" ht="60" customHeight="1">
      <c r="A404" s="7" t="s">
        <v>1445</v>
      </c>
      <c r="B404" s="7" t="s">
        <v>1342</v>
      </c>
      <c r="C404" s="7" t="s">
        <v>1378</v>
      </c>
      <c r="D404" s="7" t="s">
        <v>1418</v>
      </c>
      <c r="E404" s="8" t="s">
        <v>23</v>
      </c>
      <c r="F404" s="7" t="s">
        <v>1345</v>
      </c>
      <c r="G404" s="7" t="s">
        <v>1446</v>
      </c>
      <c r="H404" s="9">
        <f t="shared" si="34"/>
        <v>9</v>
      </c>
      <c r="I404" s="7" t="s">
        <v>1447</v>
      </c>
      <c r="J404" s="9">
        <f t="shared" si="35"/>
        <v>10</v>
      </c>
      <c r="K404" s="8" t="s">
        <v>1348</v>
      </c>
      <c r="L404" s="8" t="s">
        <v>28</v>
      </c>
      <c r="M404" s="10">
        <v>-0.14967108502231241</v>
      </c>
      <c r="N404" s="10">
        <v>0.59049282329057284</v>
      </c>
      <c r="O404" s="11" t="str">
        <f t="shared" si="36"/>
        <v>不校正</v>
      </c>
      <c r="P404" s="8" t="s">
        <v>1448</v>
      </c>
      <c r="Q404" s="8" t="s">
        <v>159</v>
      </c>
      <c r="R404" s="8" t="s">
        <v>160</v>
      </c>
      <c r="S404" s="8"/>
    </row>
    <row r="405" spans="1:19" ht="60" customHeight="1">
      <c r="A405" s="7" t="s">
        <v>1449</v>
      </c>
      <c r="B405" s="7" t="s">
        <v>1342</v>
      </c>
      <c r="C405" s="7" t="s">
        <v>1378</v>
      </c>
      <c r="D405" s="7" t="s">
        <v>1418</v>
      </c>
      <c r="E405" s="8" t="s">
        <v>81</v>
      </c>
      <c r="F405" s="7" t="s">
        <v>82</v>
      </c>
      <c r="G405" s="7" t="s">
        <v>1446</v>
      </c>
      <c r="H405" s="9">
        <f t="shared" si="34"/>
        <v>9</v>
      </c>
      <c r="I405" s="7" t="s">
        <v>1450</v>
      </c>
      <c r="J405" s="9">
        <f t="shared" si="35"/>
        <v>2</v>
      </c>
      <c r="K405" s="8" t="s">
        <v>1348</v>
      </c>
      <c r="L405" s="8" t="s">
        <v>28</v>
      </c>
      <c r="M405" s="10">
        <v>-0.14967108502231241</v>
      </c>
      <c r="N405" s="10">
        <v>0.59049282329057284</v>
      </c>
      <c r="O405" s="11" t="str">
        <f t="shared" si="36"/>
        <v>不校正</v>
      </c>
      <c r="P405" s="8" t="s">
        <v>1451</v>
      </c>
      <c r="Q405" s="8" t="s">
        <v>159</v>
      </c>
      <c r="R405" s="8" t="s">
        <v>160</v>
      </c>
      <c r="S405" s="8"/>
    </row>
    <row r="406" spans="1:19" ht="36" customHeight="1">
      <c r="A406" s="12" t="s">
        <v>1452</v>
      </c>
      <c r="B406" s="12" t="s">
        <v>1453</v>
      </c>
      <c r="C406" s="12" t="s">
        <v>118</v>
      </c>
      <c r="D406" s="12" t="s">
        <v>1454</v>
      </c>
      <c r="E406" s="13" t="s">
        <v>23</v>
      </c>
      <c r="F406" s="12" t="s">
        <v>132</v>
      </c>
      <c r="G406" s="12" t="s">
        <v>1455</v>
      </c>
      <c r="H406" s="14">
        <f t="shared" si="34"/>
        <v>5</v>
      </c>
      <c r="I406" s="12" t="s">
        <v>1456</v>
      </c>
      <c r="J406" s="14">
        <f t="shared" si="35"/>
        <v>7</v>
      </c>
      <c r="K406" s="13" t="s">
        <v>64</v>
      </c>
      <c r="L406" s="13" t="s">
        <v>28</v>
      </c>
      <c r="M406" s="25">
        <v>0.6</v>
      </c>
      <c r="N406" s="25">
        <v>0.14164469029513679</v>
      </c>
      <c r="O406" s="26" t="str">
        <f t="shared" si="36"/>
        <v>不校正</v>
      </c>
      <c r="P406" s="13" t="s">
        <v>1457</v>
      </c>
      <c r="Q406" s="13" t="s">
        <v>159</v>
      </c>
      <c r="R406" s="13" t="s">
        <v>160</v>
      </c>
      <c r="S406" s="13"/>
    </row>
    <row r="407" spans="1:19" ht="36" customHeight="1">
      <c r="A407" s="17" t="s">
        <v>1458</v>
      </c>
      <c r="B407" s="17" t="s">
        <v>1453</v>
      </c>
      <c r="C407" s="17" t="s">
        <v>118</v>
      </c>
      <c r="D407" s="17" t="s">
        <v>1454</v>
      </c>
      <c r="E407" s="18" t="s">
        <v>81</v>
      </c>
      <c r="F407" s="17" t="s">
        <v>359</v>
      </c>
      <c r="G407" s="17" t="s">
        <v>1455</v>
      </c>
      <c r="H407" s="19">
        <f t="shared" si="34"/>
        <v>5</v>
      </c>
      <c r="I407" s="17" t="s">
        <v>1093</v>
      </c>
      <c r="J407" s="19">
        <f t="shared" si="35"/>
        <v>1</v>
      </c>
      <c r="K407" s="18" t="s">
        <v>64</v>
      </c>
      <c r="L407" s="18" t="s">
        <v>28</v>
      </c>
      <c r="M407" s="27">
        <v>0.6</v>
      </c>
      <c r="N407" s="27">
        <v>0.14164469029513679</v>
      </c>
      <c r="O407" s="28" t="str">
        <f t="shared" si="36"/>
        <v>不校正</v>
      </c>
      <c r="P407" s="18" t="s">
        <v>1459</v>
      </c>
      <c r="Q407" s="18" t="s">
        <v>159</v>
      </c>
      <c r="R407" s="18" t="s">
        <v>160</v>
      </c>
      <c r="S407" s="18"/>
    </row>
    <row r="408" spans="1:19" ht="36" customHeight="1">
      <c r="A408" s="17" t="s">
        <v>1460</v>
      </c>
      <c r="B408" s="17" t="s">
        <v>1453</v>
      </c>
      <c r="C408" s="17" t="s">
        <v>118</v>
      </c>
      <c r="D408" s="17" t="s">
        <v>1461</v>
      </c>
      <c r="E408" s="18" t="s">
        <v>23</v>
      </c>
      <c r="F408" s="17" t="s">
        <v>132</v>
      </c>
      <c r="G408" s="17" t="s">
        <v>1462</v>
      </c>
      <c r="H408" s="19">
        <f t="shared" ref="H408:H439" si="37">IF(LEN(G408)=0,"",IF(ISNUMBER(SEARCH(",",G408)),LEN(SUBSTITUTE(G408,",","xx"))-LEN(G408)+1,1))</f>
        <v>4</v>
      </c>
      <c r="I408" s="17" t="s">
        <v>1463</v>
      </c>
      <c r="J408" s="19">
        <f t="shared" ref="J408:J439" si="38">IF(LEN(I408)=0,"",IF(ISNUMBER(SEARCH(",",I408)),LEN(SUBSTITUTE(I408,",","xx"))-LEN(I408)+1,1))</f>
        <v>6</v>
      </c>
      <c r="K408" s="18" t="s">
        <v>64</v>
      </c>
      <c r="L408" s="18" t="s">
        <v>28</v>
      </c>
      <c r="M408" s="27">
        <v>-0.66666666666666663</v>
      </c>
      <c r="N408" s="27">
        <v>0.17423138824802506</v>
      </c>
      <c r="O408" s="28" t="str">
        <f t="shared" ref="O408:O439" si="39">IF(AND(N408&lt;0.05,OR(AND(L408="升高改善",M408&gt;0),AND(L408="降低改善",M408&lt;0))),"校正","不校正")</f>
        <v>不校正</v>
      </c>
      <c r="P408" s="18" t="s">
        <v>1464</v>
      </c>
      <c r="Q408" s="18" t="s">
        <v>159</v>
      </c>
      <c r="R408" s="18" t="s">
        <v>160</v>
      </c>
      <c r="S408" s="18"/>
    </row>
    <row r="409" spans="1:19" ht="36" customHeight="1">
      <c r="A409" s="17" t="s">
        <v>1465</v>
      </c>
      <c r="B409" s="17" t="s">
        <v>1453</v>
      </c>
      <c r="C409" s="17" t="s">
        <v>118</v>
      </c>
      <c r="D409" s="17" t="s">
        <v>1461</v>
      </c>
      <c r="E409" s="18" t="s">
        <v>81</v>
      </c>
      <c r="F409" s="17" t="s">
        <v>359</v>
      </c>
      <c r="G409" s="17" t="s">
        <v>1462</v>
      </c>
      <c r="H409" s="19">
        <f t="shared" si="37"/>
        <v>4</v>
      </c>
      <c r="I409" s="17" t="s">
        <v>1138</v>
      </c>
      <c r="J409" s="19">
        <f t="shared" si="38"/>
        <v>1</v>
      </c>
      <c r="K409" s="18" t="s">
        <v>64</v>
      </c>
      <c r="L409" s="18" t="s">
        <v>28</v>
      </c>
      <c r="M409" s="27">
        <v>-0.66666666666666663</v>
      </c>
      <c r="N409" s="27">
        <v>0.17423138824802506</v>
      </c>
      <c r="O409" s="28" t="str">
        <f t="shared" si="39"/>
        <v>不校正</v>
      </c>
      <c r="P409" s="18" t="s">
        <v>1466</v>
      </c>
      <c r="Q409" s="18" t="s">
        <v>159</v>
      </c>
      <c r="R409" s="18" t="s">
        <v>160</v>
      </c>
      <c r="S409" s="18"/>
    </row>
    <row r="410" spans="1:19" ht="48" customHeight="1">
      <c r="A410" s="17" t="s">
        <v>1467</v>
      </c>
      <c r="B410" s="17" t="s">
        <v>1453</v>
      </c>
      <c r="C410" s="17" t="s">
        <v>118</v>
      </c>
      <c r="D410" s="17" t="s">
        <v>1468</v>
      </c>
      <c r="E410" s="18" t="s">
        <v>23</v>
      </c>
      <c r="F410" s="17" t="s">
        <v>132</v>
      </c>
      <c r="G410" s="17" t="s">
        <v>1469</v>
      </c>
      <c r="H410" s="19">
        <f t="shared" si="37"/>
        <v>11</v>
      </c>
      <c r="I410" s="17" t="s">
        <v>1470</v>
      </c>
      <c r="J410" s="19">
        <f t="shared" si="38"/>
        <v>2</v>
      </c>
      <c r="K410" s="18" t="s">
        <v>64</v>
      </c>
      <c r="L410" s="18" t="s">
        <v>28</v>
      </c>
      <c r="M410" s="27">
        <v>0.46304236661039755</v>
      </c>
      <c r="N410" s="27">
        <v>5.0212282202878294E-2</v>
      </c>
      <c r="O410" s="28" t="str">
        <f t="shared" si="39"/>
        <v>不校正</v>
      </c>
      <c r="P410" s="18" t="s">
        <v>1471</v>
      </c>
      <c r="Q410" s="18" t="s">
        <v>159</v>
      </c>
      <c r="R410" s="18" t="s">
        <v>160</v>
      </c>
      <c r="S410" s="18"/>
    </row>
    <row r="411" spans="1:19" ht="36" customHeight="1">
      <c r="A411" s="17" t="s">
        <v>1472</v>
      </c>
      <c r="B411" s="17" t="s">
        <v>1453</v>
      </c>
      <c r="C411" s="17" t="s">
        <v>118</v>
      </c>
      <c r="D411" s="17" t="s">
        <v>1468</v>
      </c>
      <c r="E411" s="18" t="s">
        <v>81</v>
      </c>
      <c r="F411" s="17" t="s">
        <v>359</v>
      </c>
      <c r="G411" s="17" t="s">
        <v>1469</v>
      </c>
      <c r="H411" s="19">
        <f t="shared" si="37"/>
        <v>11</v>
      </c>
      <c r="I411" s="17" t="s">
        <v>1473</v>
      </c>
      <c r="J411" s="19">
        <f t="shared" si="38"/>
        <v>1</v>
      </c>
      <c r="K411" s="18" t="s">
        <v>64</v>
      </c>
      <c r="L411" s="18" t="s">
        <v>28</v>
      </c>
      <c r="M411" s="27">
        <v>0.46304236661039755</v>
      </c>
      <c r="N411" s="27">
        <v>5.0212282202878294E-2</v>
      </c>
      <c r="O411" s="28" t="str">
        <f t="shared" si="39"/>
        <v>不校正</v>
      </c>
      <c r="P411" s="18" t="s">
        <v>1474</v>
      </c>
      <c r="Q411" s="18" t="s">
        <v>159</v>
      </c>
      <c r="R411" s="18" t="s">
        <v>160</v>
      </c>
      <c r="S411" s="18"/>
    </row>
    <row r="412" spans="1:19" ht="36" customHeight="1">
      <c r="A412" s="17" t="s">
        <v>1475</v>
      </c>
      <c r="B412" s="17" t="s">
        <v>1453</v>
      </c>
      <c r="C412" s="17" t="s">
        <v>1476</v>
      </c>
      <c r="D412" s="17" t="s">
        <v>1477</v>
      </c>
      <c r="E412" s="18" t="s">
        <v>23</v>
      </c>
      <c r="F412" s="17" t="s">
        <v>132</v>
      </c>
      <c r="G412" s="17" t="s">
        <v>1478</v>
      </c>
      <c r="H412" s="19">
        <f t="shared" si="37"/>
        <v>5</v>
      </c>
      <c r="I412" s="17" t="s">
        <v>1479</v>
      </c>
      <c r="J412" s="19">
        <f t="shared" si="38"/>
        <v>10</v>
      </c>
      <c r="K412" s="18" t="s">
        <v>64</v>
      </c>
      <c r="L412" s="18" t="s">
        <v>28</v>
      </c>
      <c r="M412" s="27">
        <v>-0.31622776601683794</v>
      </c>
      <c r="N412" s="27">
        <v>0.44848886103153174</v>
      </c>
      <c r="O412" s="28" t="str">
        <f t="shared" si="39"/>
        <v>不校正</v>
      </c>
      <c r="P412" s="18" t="s">
        <v>1480</v>
      </c>
      <c r="Q412" s="18" t="s">
        <v>159</v>
      </c>
      <c r="R412" s="18" t="s">
        <v>160</v>
      </c>
      <c r="S412" s="18"/>
    </row>
    <row r="413" spans="1:19" ht="36" customHeight="1">
      <c r="A413" s="17" t="s">
        <v>1481</v>
      </c>
      <c r="B413" s="17" t="s">
        <v>1453</v>
      </c>
      <c r="C413" s="17" t="s">
        <v>1476</v>
      </c>
      <c r="D413" s="17" t="s">
        <v>1477</v>
      </c>
      <c r="E413" s="18" t="s">
        <v>81</v>
      </c>
      <c r="F413" s="17" t="s">
        <v>359</v>
      </c>
      <c r="G413" s="17" t="s">
        <v>1478</v>
      </c>
      <c r="H413" s="19">
        <f t="shared" si="37"/>
        <v>5</v>
      </c>
      <c r="I413" s="17" t="s">
        <v>1482</v>
      </c>
      <c r="J413" s="19">
        <f t="shared" si="38"/>
        <v>1</v>
      </c>
      <c r="K413" s="18" t="s">
        <v>64</v>
      </c>
      <c r="L413" s="18" t="s">
        <v>28</v>
      </c>
      <c r="M413" s="27">
        <v>-0.31622776601683794</v>
      </c>
      <c r="N413" s="27">
        <v>0.44848886103153174</v>
      </c>
      <c r="O413" s="28" t="str">
        <f t="shared" si="39"/>
        <v>不校正</v>
      </c>
      <c r="P413" s="18" t="s">
        <v>1483</v>
      </c>
      <c r="Q413" s="18" t="s">
        <v>159</v>
      </c>
      <c r="R413" s="18" t="s">
        <v>160</v>
      </c>
      <c r="S413" s="18"/>
    </row>
    <row r="414" spans="1:19" ht="36" customHeight="1">
      <c r="A414" s="17" t="s">
        <v>1484</v>
      </c>
      <c r="B414" s="17" t="s">
        <v>1453</v>
      </c>
      <c r="C414" s="17" t="s">
        <v>1476</v>
      </c>
      <c r="D414" s="17" t="s">
        <v>1485</v>
      </c>
      <c r="E414" s="18" t="s">
        <v>23</v>
      </c>
      <c r="F414" s="17" t="s">
        <v>132</v>
      </c>
      <c r="G414" s="17" t="s">
        <v>1486</v>
      </c>
      <c r="H414" s="19">
        <f t="shared" si="37"/>
        <v>10</v>
      </c>
      <c r="I414" s="17" t="s">
        <v>1487</v>
      </c>
      <c r="J414" s="19">
        <f t="shared" si="38"/>
        <v>5</v>
      </c>
      <c r="K414" s="18" t="s">
        <v>64</v>
      </c>
      <c r="L414" s="18" t="s">
        <v>28</v>
      </c>
      <c r="M414" s="27">
        <v>-0.25609110844884536</v>
      </c>
      <c r="N414" s="27">
        <v>0.31597365303602126</v>
      </c>
      <c r="O414" s="28" t="str">
        <f t="shared" si="39"/>
        <v>不校正</v>
      </c>
      <c r="P414" s="18" t="s">
        <v>1488</v>
      </c>
      <c r="Q414" s="18" t="s">
        <v>159</v>
      </c>
      <c r="R414" s="18" t="s">
        <v>160</v>
      </c>
      <c r="S414" s="18"/>
    </row>
    <row r="415" spans="1:19" ht="36" customHeight="1">
      <c r="A415" s="17" t="s">
        <v>1489</v>
      </c>
      <c r="B415" s="17" t="s">
        <v>1453</v>
      </c>
      <c r="C415" s="17" t="s">
        <v>1476</v>
      </c>
      <c r="D415" s="17" t="s">
        <v>1485</v>
      </c>
      <c r="E415" s="18" t="s">
        <v>81</v>
      </c>
      <c r="F415" s="17" t="s">
        <v>359</v>
      </c>
      <c r="G415" s="17" t="s">
        <v>1486</v>
      </c>
      <c r="H415" s="19">
        <f t="shared" si="37"/>
        <v>10</v>
      </c>
      <c r="I415" s="17" t="s">
        <v>1490</v>
      </c>
      <c r="J415" s="19">
        <f t="shared" si="38"/>
        <v>1</v>
      </c>
      <c r="K415" s="18" t="s">
        <v>64</v>
      </c>
      <c r="L415" s="18" t="s">
        <v>28</v>
      </c>
      <c r="M415" s="27">
        <v>-0.25609110844884536</v>
      </c>
      <c r="N415" s="27">
        <v>0.31597365303602126</v>
      </c>
      <c r="O415" s="28" t="str">
        <f t="shared" si="39"/>
        <v>不校正</v>
      </c>
      <c r="P415" s="18" t="s">
        <v>1491</v>
      </c>
      <c r="Q415" s="18" t="s">
        <v>159</v>
      </c>
      <c r="R415" s="18" t="s">
        <v>160</v>
      </c>
      <c r="S415" s="18"/>
    </row>
    <row r="416" spans="1:19" ht="36" customHeight="1">
      <c r="A416" s="17" t="s">
        <v>1492</v>
      </c>
      <c r="B416" s="17" t="s">
        <v>1453</v>
      </c>
      <c r="C416" s="17" t="s">
        <v>1476</v>
      </c>
      <c r="D416" s="17" t="s">
        <v>1493</v>
      </c>
      <c r="E416" s="18" t="s">
        <v>23</v>
      </c>
      <c r="F416" s="17" t="s">
        <v>132</v>
      </c>
      <c r="G416" s="17" t="s">
        <v>1494</v>
      </c>
      <c r="H416" s="19">
        <f t="shared" si="37"/>
        <v>12</v>
      </c>
      <c r="I416" s="17" t="s">
        <v>1495</v>
      </c>
      <c r="J416" s="19">
        <f t="shared" si="38"/>
        <v>4</v>
      </c>
      <c r="K416" s="18" t="s">
        <v>64</v>
      </c>
      <c r="L416" s="18" t="s">
        <v>28</v>
      </c>
      <c r="M416" s="27">
        <v>-0.19847906537954926</v>
      </c>
      <c r="N416" s="27">
        <v>0.37156462722472616</v>
      </c>
      <c r="O416" s="28" t="str">
        <f t="shared" si="39"/>
        <v>不校正</v>
      </c>
      <c r="P416" s="18" t="s">
        <v>1496</v>
      </c>
      <c r="Q416" s="18" t="s">
        <v>159</v>
      </c>
      <c r="R416" s="18" t="s">
        <v>160</v>
      </c>
      <c r="S416" s="18"/>
    </row>
    <row r="417" spans="1:19" ht="36" customHeight="1">
      <c r="A417" s="17" t="s">
        <v>1497</v>
      </c>
      <c r="B417" s="17" t="s">
        <v>1453</v>
      </c>
      <c r="C417" s="17" t="s">
        <v>1476</v>
      </c>
      <c r="D417" s="17" t="s">
        <v>1493</v>
      </c>
      <c r="E417" s="18" t="s">
        <v>81</v>
      </c>
      <c r="F417" s="17" t="s">
        <v>359</v>
      </c>
      <c r="G417" s="17" t="s">
        <v>1494</v>
      </c>
      <c r="H417" s="19">
        <f t="shared" si="37"/>
        <v>12</v>
      </c>
      <c r="I417" s="17" t="s">
        <v>1138</v>
      </c>
      <c r="J417" s="19">
        <f t="shared" si="38"/>
        <v>1</v>
      </c>
      <c r="K417" s="18" t="s">
        <v>64</v>
      </c>
      <c r="L417" s="18" t="s">
        <v>28</v>
      </c>
      <c r="M417" s="27">
        <v>-0.19847906537954926</v>
      </c>
      <c r="N417" s="27">
        <v>0.37156462722472616</v>
      </c>
      <c r="O417" s="28" t="str">
        <f t="shared" si="39"/>
        <v>不校正</v>
      </c>
      <c r="P417" s="18" t="s">
        <v>1498</v>
      </c>
      <c r="Q417" s="18" t="s">
        <v>159</v>
      </c>
      <c r="R417" s="18" t="s">
        <v>160</v>
      </c>
      <c r="S417" s="18"/>
    </row>
    <row r="418" spans="1:19" ht="48" customHeight="1">
      <c r="A418" s="17" t="s">
        <v>1499</v>
      </c>
      <c r="B418" s="17" t="s">
        <v>1453</v>
      </c>
      <c r="C418" s="17" t="s">
        <v>118</v>
      </c>
      <c r="D418" s="17" t="s">
        <v>1500</v>
      </c>
      <c r="E418" s="18" t="s">
        <v>23</v>
      </c>
      <c r="F418" s="17" t="s">
        <v>132</v>
      </c>
      <c r="G418" s="17" t="s">
        <v>1501</v>
      </c>
      <c r="H418" s="19">
        <f t="shared" si="37"/>
        <v>5</v>
      </c>
      <c r="I418" s="17" t="s">
        <v>1502</v>
      </c>
      <c r="J418" s="19">
        <f t="shared" si="38"/>
        <v>7</v>
      </c>
      <c r="K418" s="18" t="s">
        <v>64</v>
      </c>
      <c r="L418" s="18" t="s">
        <v>28</v>
      </c>
      <c r="M418" s="27">
        <v>0.2</v>
      </c>
      <c r="N418" s="27">
        <v>0.62420611476640608</v>
      </c>
      <c r="O418" s="28" t="str">
        <f t="shared" si="39"/>
        <v>不校正</v>
      </c>
      <c r="P418" s="18" t="s">
        <v>1503</v>
      </c>
      <c r="Q418" s="18" t="s">
        <v>159</v>
      </c>
      <c r="R418" s="18" t="s">
        <v>160</v>
      </c>
      <c r="S418" s="18"/>
    </row>
    <row r="419" spans="1:19" ht="48" customHeight="1">
      <c r="A419" s="17" t="s">
        <v>1504</v>
      </c>
      <c r="B419" s="17" t="s">
        <v>1453</v>
      </c>
      <c r="C419" s="17" t="s">
        <v>118</v>
      </c>
      <c r="D419" s="17" t="s">
        <v>1500</v>
      </c>
      <c r="E419" s="18" t="s">
        <v>81</v>
      </c>
      <c r="F419" s="17" t="s">
        <v>359</v>
      </c>
      <c r="G419" s="17" t="s">
        <v>1501</v>
      </c>
      <c r="H419" s="19">
        <f t="shared" si="37"/>
        <v>5</v>
      </c>
      <c r="I419" s="17" t="s">
        <v>860</v>
      </c>
      <c r="J419" s="19">
        <f t="shared" si="38"/>
        <v>1</v>
      </c>
      <c r="K419" s="18" t="s">
        <v>64</v>
      </c>
      <c r="L419" s="18" t="s">
        <v>28</v>
      </c>
      <c r="M419" s="27">
        <v>0.2</v>
      </c>
      <c r="N419" s="27">
        <v>0.62420611476640608</v>
      </c>
      <c r="O419" s="28" t="str">
        <f t="shared" si="39"/>
        <v>不校正</v>
      </c>
      <c r="P419" s="18" t="s">
        <v>1505</v>
      </c>
      <c r="Q419" s="18" t="s">
        <v>159</v>
      </c>
      <c r="R419" s="18" t="s">
        <v>160</v>
      </c>
      <c r="S419" s="18"/>
    </row>
    <row r="420" spans="1:19" ht="48" customHeight="1">
      <c r="A420" s="17" t="s">
        <v>1506</v>
      </c>
      <c r="B420" s="17" t="s">
        <v>1453</v>
      </c>
      <c r="C420" s="17" t="s">
        <v>118</v>
      </c>
      <c r="D420" s="17" t="s">
        <v>1507</v>
      </c>
      <c r="E420" s="18" t="s">
        <v>23</v>
      </c>
      <c r="F420" s="17" t="s">
        <v>132</v>
      </c>
      <c r="G420" s="17" t="s">
        <v>1508</v>
      </c>
      <c r="H420" s="19">
        <f t="shared" si="37"/>
        <v>4</v>
      </c>
      <c r="I420" s="17" t="s">
        <v>1509</v>
      </c>
      <c r="J420" s="19">
        <f t="shared" si="38"/>
        <v>6</v>
      </c>
      <c r="K420" s="18" t="s">
        <v>64</v>
      </c>
      <c r="L420" s="18" t="s">
        <v>28</v>
      </c>
      <c r="M420" s="27">
        <v>0.33333333333333331</v>
      </c>
      <c r="N420" s="27">
        <v>0.49690584756476791</v>
      </c>
      <c r="O420" s="28" t="str">
        <f t="shared" si="39"/>
        <v>不校正</v>
      </c>
      <c r="P420" s="18" t="s">
        <v>1510</v>
      </c>
      <c r="Q420" s="18" t="s">
        <v>159</v>
      </c>
      <c r="R420" s="18" t="s">
        <v>160</v>
      </c>
      <c r="S420" s="18"/>
    </row>
    <row r="421" spans="1:19" ht="48" customHeight="1">
      <c r="A421" s="17" t="s">
        <v>1511</v>
      </c>
      <c r="B421" s="17" t="s">
        <v>1453</v>
      </c>
      <c r="C421" s="17" t="s">
        <v>118</v>
      </c>
      <c r="D421" s="17" t="s">
        <v>1507</v>
      </c>
      <c r="E421" s="18" t="s">
        <v>81</v>
      </c>
      <c r="F421" s="17" t="s">
        <v>359</v>
      </c>
      <c r="G421" s="17" t="s">
        <v>1508</v>
      </c>
      <c r="H421" s="19">
        <f t="shared" si="37"/>
        <v>4</v>
      </c>
      <c r="I421" s="17" t="s">
        <v>1512</v>
      </c>
      <c r="J421" s="19">
        <f t="shared" si="38"/>
        <v>1</v>
      </c>
      <c r="K421" s="18" t="s">
        <v>64</v>
      </c>
      <c r="L421" s="18" t="s">
        <v>28</v>
      </c>
      <c r="M421" s="27">
        <v>0.33333333333333331</v>
      </c>
      <c r="N421" s="27">
        <v>0.49690584756476791</v>
      </c>
      <c r="O421" s="28" t="str">
        <f t="shared" si="39"/>
        <v>不校正</v>
      </c>
      <c r="P421" s="18" t="s">
        <v>1513</v>
      </c>
      <c r="Q421" s="18" t="s">
        <v>159</v>
      </c>
      <c r="R421" s="18" t="s">
        <v>160</v>
      </c>
      <c r="S421" s="18"/>
    </row>
    <row r="422" spans="1:19" ht="48" customHeight="1">
      <c r="A422" s="17" t="s">
        <v>1514</v>
      </c>
      <c r="B422" s="17" t="s">
        <v>1453</v>
      </c>
      <c r="C422" s="17" t="s">
        <v>118</v>
      </c>
      <c r="D422" s="17" t="s">
        <v>1515</v>
      </c>
      <c r="E422" s="18" t="s">
        <v>23</v>
      </c>
      <c r="F422" s="17" t="s">
        <v>132</v>
      </c>
      <c r="G422" s="17" t="s">
        <v>1516</v>
      </c>
      <c r="H422" s="19">
        <f t="shared" si="37"/>
        <v>11</v>
      </c>
      <c r="I422" s="17" t="s">
        <v>1517</v>
      </c>
      <c r="J422" s="19">
        <f t="shared" si="38"/>
        <v>2</v>
      </c>
      <c r="K422" s="18" t="s">
        <v>64</v>
      </c>
      <c r="L422" s="18" t="s">
        <v>28</v>
      </c>
      <c r="M422" s="27">
        <v>0.34545454545454546</v>
      </c>
      <c r="N422" s="27">
        <v>0.13910076544006419</v>
      </c>
      <c r="O422" s="28" t="str">
        <f t="shared" si="39"/>
        <v>不校正</v>
      </c>
      <c r="P422" s="18" t="s">
        <v>1518</v>
      </c>
      <c r="Q422" s="18" t="s">
        <v>159</v>
      </c>
      <c r="R422" s="18" t="s">
        <v>160</v>
      </c>
      <c r="S422" s="18"/>
    </row>
    <row r="423" spans="1:19" ht="48" customHeight="1">
      <c r="A423" s="17" t="s">
        <v>1519</v>
      </c>
      <c r="B423" s="17" t="s">
        <v>1453</v>
      </c>
      <c r="C423" s="17" t="s">
        <v>118</v>
      </c>
      <c r="D423" s="17" t="s">
        <v>1515</v>
      </c>
      <c r="E423" s="18" t="s">
        <v>81</v>
      </c>
      <c r="F423" s="17" t="s">
        <v>359</v>
      </c>
      <c r="G423" s="17" t="s">
        <v>1516</v>
      </c>
      <c r="H423" s="19">
        <f t="shared" si="37"/>
        <v>11</v>
      </c>
      <c r="I423" s="17" t="s">
        <v>1520</v>
      </c>
      <c r="J423" s="19">
        <f t="shared" si="38"/>
        <v>1</v>
      </c>
      <c r="K423" s="18" t="s">
        <v>64</v>
      </c>
      <c r="L423" s="18" t="s">
        <v>28</v>
      </c>
      <c r="M423" s="27">
        <v>0.34545454545454546</v>
      </c>
      <c r="N423" s="27">
        <v>0.13910076544006419</v>
      </c>
      <c r="O423" s="28" t="str">
        <f t="shared" si="39"/>
        <v>不校正</v>
      </c>
      <c r="P423" s="18" t="s">
        <v>1521</v>
      </c>
      <c r="Q423" s="18" t="s">
        <v>159</v>
      </c>
      <c r="R423" s="18" t="s">
        <v>160</v>
      </c>
      <c r="S423" s="18"/>
    </row>
    <row r="424" spans="1:19" ht="48" customHeight="1">
      <c r="A424" s="17" t="s">
        <v>1522</v>
      </c>
      <c r="B424" s="17" t="s">
        <v>1453</v>
      </c>
      <c r="C424" s="17" t="s">
        <v>1476</v>
      </c>
      <c r="D424" s="17" t="s">
        <v>1523</v>
      </c>
      <c r="E424" s="18" t="s">
        <v>23</v>
      </c>
      <c r="F424" s="17" t="s">
        <v>132</v>
      </c>
      <c r="G424" s="17" t="s">
        <v>1524</v>
      </c>
      <c r="H424" s="19">
        <f t="shared" si="37"/>
        <v>5</v>
      </c>
      <c r="I424" s="17" t="s">
        <v>1525</v>
      </c>
      <c r="J424" s="19">
        <f t="shared" si="38"/>
        <v>10</v>
      </c>
      <c r="K424" s="18" t="s">
        <v>64</v>
      </c>
      <c r="L424" s="18" t="s">
        <v>28</v>
      </c>
      <c r="M424" s="27">
        <v>0.6</v>
      </c>
      <c r="N424" s="27">
        <v>0.14164469029513679</v>
      </c>
      <c r="O424" s="28" t="str">
        <f t="shared" si="39"/>
        <v>不校正</v>
      </c>
      <c r="P424" s="18" t="s">
        <v>1526</v>
      </c>
      <c r="Q424" s="18" t="s">
        <v>159</v>
      </c>
      <c r="R424" s="18" t="s">
        <v>160</v>
      </c>
      <c r="S424" s="18"/>
    </row>
    <row r="425" spans="1:19" ht="48" customHeight="1">
      <c r="A425" s="17" t="s">
        <v>1527</v>
      </c>
      <c r="B425" s="17" t="s">
        <v>1453</v>
      </c>
      <c r="C425" s="17" t="s">
        <v>1476</v>
      </c>
      <c r="D425" s="17" t="s">
        <v>1523</v>
      </c>
      <c r="E425" s="18" t="s">
        <v>81</v>
      </c>
      <c r="F425" s="17" t="s">
        <v>359</v>
      </c>
      <c r="G425" s="17" t="s">
        <v>1524</v>
      </c>
      <c r="H425" s="19">
        <f t="shared" si="37"/>
        <v>5</v>
      </c>
      <c r="I425" s="17" t="s">
        <v>1473</v>
      </c>
      <c r="J425" s="19">
        <f t="shared" si="38"/>
        <v>1</v>
      </c>
      <c r="K425" s="18" t="s">
        <v>64</v>
      </c>
      <c r="L425" s="18" t="s">
        <v>28</v>
      </c>
      <c r="M425" s="27">
        <v>0.6</v>
      </c>
      <c r="N425" s="27">
        <v>0.14164469029513679</v>
      </c>
      <c r="O425" s="28" t="str">
        <f t="shared" si="39"/>
        <v>不校正</v>
      </c>
      <c r="P425" s="18" t="s">
        <v>1528</v>
      </c>
      <c r="Q425" s="18" t="s">
        <v>159</v>
      </c>
      <c r="R425" s="18" t="s">
        <v>160</v>
      </c>
      <c r="S425" s="18"/>
    </row>
    <row r="426" spans="1:19" ht="48" customHeight="1">
      <c r="A426" s="17" t="s">
        <v>1529</v>
      </c>
      <c r="B426" s="17" t="s">
        <v>1453</v>
      </c>
      <c r="C426" s="17" t="s">
        <v>1476</v>
      </c>
      <c r="D426" s="17" t="s">
        <v>1530</v>
      </c>
      <c r="E426" s="18" t="s">
        <v>23</v>
      </c>
      <c r="F426" s="17" t="s">
        <v>132</v>
      </c>
      <c r="G426" s="17" t="s">
        <v>1531</v>
      </c>
      <c r="H426" s="19">
        <f t="shared" si="37"/>
        <v>10</v>
      </c>
      <c r="I426" s="17" t="s">
        <v>1532</v>
      </c>
      <c r="J426" s="19">
        <f t="shared" si="38"/>
        <v>5</v>
      </c>
      <c r="K426" s="18" t="s">
        <v>64</v>
      </c>
      <c r="L426" s="18" t="s">
        <v>28</v>
      </c>
      <c r="M426" s="27">
        <v>0.67514928591059231</v>
      </c>
      <c r="N426" s="27">
        <v>8.2015842180403042E-3</v>
      </c>
      <c r="O426" s="28" t="str">
        <f t="shared" si="39"/>
        <v>校正</v>
      </c>
      <c r="P426" s="18" t="s">
        <v>1533</v>
      </c>
      <c r="Q426" s="18" t="s">
        <v>159</v>
      </c>
      <c r="R426" s="18" t="s">
        <v>160</v>
      </c>
      <c r="S426" s="18"/>
    </row>
    <row r="427" spans="1:19" ht="48" customHeight="1">
      <c r="A427" s="17" t="s">
        <v>1534</v>
      </c>
      <c r="B427" s="17" t="s">
        <v>1453</v>
      </c>
      <c r="C427" s="17" t="s">
        <v>1476</v>
      </c>
      <c r="D427" s="17" t="s">
        <v>1530</v>
      </c>
      <c r="E427" s="18" t="s">
        <v>81</v>
      </c>
      <c r="F427" s="17" t="s">
        <v>359</v>
      </c>
      <c r="G427" s="17" t="s">
        <v>1531</v>
      </c>
      <c r="H427" s="19">
        <f t="shared" si="37"/>
        <v>10</v>
      </c>
      <c r="I427" s="17" t="s">
        <v>826</v>
      </c>
      <c r="J427" s="19">
        <f t="shared" si="38"/>
        <v>1</v>
      </c>
      <c r="K427" s="18" t="s">
        <v>64</v>
      </c>
      <c r="L427" s="18" t="s">
        <v>28</v>
      </c>
      <c r="M427" s="27">
        <v>0.67514928591059231</v>
      </c>
      <c r="N427" s="27">
        <v>8.2015842180403042E-3</v>
      </c>
      <c r="O427" s="28" t="str">
        <f t="shared" si="39"/>
        <v>校正</v>
      </c>
      <c r="P427" s="18" t="s">
        <v>1535</v>
      </c>
      <c r="Q427" s="18" t="s">
        <v>159</v>
      </c>
      <c r="R427" s="18" t="s">
        <v>160</v>
      </c>
      <c r="S427" s="18"/>
    </row>
    <row r="428" spans="1:19" ht="48" customHeight="1">
      <c r="A428" s="17" t="s">
        <v>1536</v>
      </c>
      <c r="B428" s="17" t="s">
        <v>1453</v>
      </c>
      <c r="C428" s="17" t="s">
        <v>1476</v>
      </c>
      <c r="D428" s="17" t="s">
        <v>1537</v>
      </c>
      <c r="E428" s="18" t="s">
        <v>23</v>
      </c>
      <c r="F428" s="17" t="s">
        <v>132</v>
      </c>
      <c r="G428" s="17" t="s">
        <v>1538</v>
      </c>
      <c r="H428" s="19">
        <f t="shared" si="37"/>
        <v>12</v>
      </c>
      <c r="I428" s="17" t="s">
        <v>1539</v>
      </c>
      <c r="J428" s="19">
        <f t="shared" si="38"/>
        <v>4</v>
      </c>
      <c r="K428" s="18" t="s">
        <v>64</v>
      </c>
      <c r="L428" s="18" t="s">
        <v>28</v>
      </c>
      <c r="M428" s="27">
        <v>0.17058877190638633</v>
      </c>
      <c r="N428" s="27">
        <v>0.44744871354095406</v>
      </c>
      <c r="O428" s="28" t="str">
        <f t="shared" si="39"/>
        <v>不校正</v>
      </c>
      <c r="P428" s="18" t="s">
        <v>1540</v>
      </c>
      <c r="Q428" s="18" t="s">
        <v>159</v>
      </c>
      <c r="R428" s="18" t="s">
        <v>160</v>
      </c>
      <c r="S428" s="18"/>
    </row>
    <row r="429" spans="1:19" ht="48" customHeight="1">
      <c r="A429" s="17" t="s">
        <v>1541</v>
      </c>
      <c r="B429" s="17" t="s">
        <v>1453</v>
      </c>
      <c r="C429" s="17" t="s">
        <v>1476</v>
      </c>
      <c r="D429" s="17" t="s">
        <v>1537</v>
      </c>
      <c r="E429" s="18" t="s">
        <v>81</v>
      </c>
      <c r="F429" s="17" t="s">
        <v>359</v>
      </c>
      <c r="G429" s="17" t="s">
        <v>1538</v>
      </c>
      <c r="H429" s="19">
        <f t="shared" si="37"/>
        <v>12</v>
      </c>
      <c r="I429" s="17" t="s">
        <v>1542</v>
      </c>
      <c r="J429" s="19">
        <f t="shared" si="38"/>
        <v>1</v>
      </c>
      <c r="K429" s="18" t="s">
        <v>64</v>
      </c>
      <c r="L429" s="18" t="s">
        <v>28</v>
      </c>
      <c r="M429" s="27">
        <v>0.17058877190638633</v>
      </c>
      <c r="N429" s="27">
        <v>0.44744871354095406</v>
      </c>
      <c r="O429" s="28" t="str">
        <f t="shared" si="39"/>
        <v>不校正</v>
      </c>
      <c r="P429" s="18" t="s">
        <v>1543</v>
      </c>
      <c r="Q429" s="18" t="s">
        <v>159</v>
      </c>
      <c r="R429" s="18" t="s">
        <v>160</v>
      </c>
      <c r="S429" s="18"/>
    </row>
    <row r="430" spans="1:19" ht="60" customHeight="1">
      <c r="A430" s="2" t="s">
        <v>1544</v>
      </c>
      <c r="B430" s="2" t="s">
        <v>1545</v>
      </c>
      <c r="C430" s="2" t="s">
        <v>1546</v>
      </c>
      <c r="D430" s="2" t="s">
        <v>1547</v>
      </c>
      <c r="E430" s="3" t="s">
        <v>23</v>
      </c>
      <c r="F430" s="2" t="s">
        <v>132</v>
      </c>
      <c r="G430" s="2" t="s">
        <v>1548</v>
      </c>
      <c r="H430" s="4">
        <f t="shared" si="37"/>
        <v>5</v>
      </c>
      <c r="I430" s="2" t="s">
        <v>1549</v>
      </c>
      <c r="J430" s="4">
        <f t="shared" si="38"/>
        <v>10</v>
      </c>
      <c r="K430" s="3" t="s">
        <v>64</v>
      </c>
      <c r="L430" s="3" t="s">
        <v>28</v>
      </c>
      <c r="M430" s="5">
        <v>0</v>
      </c>
      <c r="N430" s="5">
        <v>1</v>
      </c>
      <c r="O430" s="6" t="str">
        <f t="shared" si="39"/>
        <v>不校正</v>
      </c>
      <c r="P430" s="3" t="s">
        <v>1550</v>
      </c>
      <c r="Q430" s="3" t="s">
        <v>159</v>
      </c>
      <c r="R430" s="3" t="s">
        <v>160</v>
      </c>
      <c r="S430" s="3"/>
    </row>
    <row r="431" spans="1:19" ht="60" customHeight="1">
      <c r="A431" s="7" t="s">
        <v>1551</v>
      </c>
      <c r="B431" s="7" t="s">
        <v>1545</v>
      </c>
      <c r="C431" s="7" t="s">
        <v>1552</v>
      </c>
      <c r="D431" s="7" t="s">
        <v>1547</v>
      </c>
      <c r="E431" s="8" t="s">
        <v>23</v>
      </c>
      <c r="F431" s="7" t="s">
        <v>132</v>
      </c>
      <c r="G431" s="7" t="s">
        <v>1553</v>
      </c>
      <c r="H431" s="9">
        <f t="shared" si="37"/>
        <v>6</v>
      </c>
      <c r="I431" s="7" t="s">
        <v>1554</v>
      </c>
      <c r="J431" s="9">
        <f t="shared" si="38"/>
        <v>11</v>
      </c>
      <c r="K431" s="8" t="s">
        <v>64</v>
      </c>
      <c r="L431" s="8" t="s">
        <v>28</v>
      </c>
      <c r="M431" s="10">
        <v>0.13801311186847084</v>
      </c>
      <c r="N431" s="10">
        <v>0.70205639492694139</v>
      </c>
      <c r="O431" s="11" t="str">
        <f t="shared" si="39"/>
        <v>不校正</v>
      </c>
      <c r="P431" s="8" t="s">
        <v>1555</v>
      </c>
      <c r="Q431" s="8" t="s">
        <v>159</v>
      </c>
      <c r="R431" s="8" t="s">
        <v>160</v>
      </c>
      <c r="S431" s="8"/>
    </row>
    <row r="432" spans="1:19" ht="60" customHeight="1">
      <c r="A432" s="7" t="s">
        <v>1556</v>
      </c>
      <c r="B432" s="7" t="s">
        <v>1545</v>
      </c>
      <c r="C432" s="7" t="s">
        <v>1557</v>
      </c>
      <c r="D432" s="7" t="s">
        <v>1547</v>
      </c>
      <c r="E432" s="8" t="s">
        <v>23</v>
      </c>
      <c r="F432" s="7" t="s">
        <v>132</v>
      </c>
      <c r="G432" s="7" t="s">
        <v>1558</v>
      </c>
      <c r="H432" s="9">
        <f t="shared" si="37"/>
        <v>10</v>
      </c>
      <c r="I432" s="7" t="s">
        <v>1559</v>
      </c>
      <c r="J432" s="9">
        <f t="shared" si="38"/>
        <v>5</v>
      </c>
      <c r="K432" s="8" t="s">
        <v>64</v>
      </c>
      <c r="L432" s="8" t="s">
        <v>28</v>
      </c>
      <c r="M432" s="10">
        <v>0.27216552697590868</v>
      </c>
      <c r="N432" s="10">
        <v>0.3091081171471306</v>
      </c>
      <c r="O432" s="11" t="str">
        <f t="shared" si="39"/>
        <v>不校正</v>
      </c>
      <c r="P432" s="8" t="s">
        <v>1560</v>
      </c>
      <c r="Q432" s="8" t="s">
        <v>159</v>
      </c>
      <c r="R432" s="8" t="s">
        <v>160</v>
      </c>
      <c r="S432" s="8"/>
    </row>
    <row r="433" spans="1:19" ht="48" customHeight="1">
      <c r="A433" s="12" t="s">
        <v>1561</v>
      </c>
      <c r="B433" s="12" t="s">
        <v>1562</v>
      </c>
      <c r="C433" s="12" t="s">
        <v>1563</v>
      </c>
      <c r="D433" s="12" t="s">
        <v>1564</v>
      </c>
      <c r="E433" s="13" t="s">
        <v>23</v>
      </c>
      <c r="F433" s="12" t="s">
        <v>132</v>
      </c>
      <c r="G433" s="33"/>
      <c r="H433" s="34"/>
      <c r="I433" s="33"/>
      <c r="J433" s="34"/>
      <c r="K433" s="13" t="s">
        <v>1565</v>
      </c>
      <c r="L433" s="13" t="s">
        <v>28</v>
      </c>
      <c r="M433" s="15"/>
      <c r="N433" s="15"/>
      <c r="O433" s="16"/>
      <c r="P433" s="13" t="s">
        <v>1566</v>
      </c>
      <c r="Q433" s="13" t="s">
        <v>159</v>
      </c>
      <c r="R433" s="35" t="s">
        <v>94</v>
      </c>
      <c r="S433" s="13" t="s">
        <v>1567</v>
      </c>
    </row>
    <row r="434" spans="1:19" ht="48" customHeight="1">
      <c r="A434" s="17" t="s">
        <v>1568</v>
      </c>
      <c r="B434" s="17" t="s">
        <v>1562</v>
      </c>
      <c r="C434" s="17" t="s">
        <v>1563</v>
      </c>
      <c r="D434" s="17" t="s">
        <v>1564</v>
      </c>
      <c r="E434" s="18" t="s">
        <v>81</v>
      </c>
      <c r="F434" s="17" t="s">
        <v>82</v>
      </c>
      <c r="G434" s="22"/>
      <c r="H434" s="23"/>
      <c r="I434" s="22"/>
      <c r="J434" s="23"/>
      <c r="K434" s="18" t="s">
        <v>1565</v>
      </c>
      <c r="L434" s="18" t="s">
        <v>28</v>
      </c>
      <c r="M434" s="20"/>
      <c r="N434" s="20"/>
      <c r="O434" s="21"/>
      <c r="P434" s="18" t="s">
        <v>1569</v>
      </c>
      <c r="Q434" s="18" t="s">
        <v>159</v>
      </c>
      <c r="R434" s="24" t="s">
        <v>94</v>
      </c>
      <c r="S434" s="18" t="s">
        <v>1567</v>
      </c>
    </row>
    <row r="435" spans="1:19" ht="36" customHeight="1">
      <c r="A435" s="17" t="s">
        <v>1570</v>
      </c>
      <c r="B435" s="17" t="s">
        <v>1562</v>
      </c>
      <c r="C435" s="17" t="s">
        <v>1563</v>
      </c>
      <c r="D435" s="17" t="s">
        <v>1141</v>
      </c>
      <c r="E435" s="18" t="s">
        <v>23</v>
      </c>
      <c r="F435" s="17" t="s">
        <v>132</v>
      </c>
      <c r="G435" s="22"/>
      <c r="H435" s="23"/>
      <c r="I435" s="22"/>
      <c r="J435" s="23"/>
      <c r="K435" s="18" t="s">
        <v>1571</v>
      </c>
      <c r="L435" s="18" t="s">
        <v>28</v>
      </c>
      <c r="M435" s="20"/>
      <c r="N435" s="20"/>
      <c r="O435" s="21"/>
      <c r="P435" s="18" t="s">
        <v>1572</v>
      </c>
      <c r="Q435" s="18" t="s">
        <v>159</v>
      </c>
      <c r="R435" s="24" t="s">
        <v>94</v>
      </c>
      <c r="S435" s="18" t="s">
        <v>1573</v>
      </c>
    </row>
    <row r="436" spans="1:19" ht="36" customHeight="1">
      <c r="A436" s="17" t="s">
        <v>1574</v>
      </c>
      <c r="B436" s="17" t="s">
        <v>1562</v>
      </c>
      <c r="C436" s="17" t="s">
        <v>1563</v>
      </c>
      <c r="D436" s="17" t="s">
        <v>1141</v>
      </c>
      <c r="E436" s="18" t="s">
        <v>81</v>
      </c>
      <c r="F436" s="17" t="s">
        <v>82</v>
      </c>
      <c r="G436" s="22"/>
      <c r="H436" s="23"/>
      <c r="I436" s="22"/>
      <c r="J436" s="23"/>
      <c r="K436" s="18" t="s">
        <v>1571</v>
      </c>
      <c r="L436" s="18" t="s">
        <v>28</v>
      </c>
      <c r="M436" s="20"/>
      <c r="N436" s="20"/>
      <c r="O436" s="21"/>
      <c r="P436" s="18" t="s">
        <v>1575</v>
      </c>
      <c r="Q436" s="18" t="s">
        <v>159</v>
      </c>
      <c r="R436" s="24" t="s">
        <v>94</v>
      </c>
      <c r="S436" s="18" t="s">
        <v>1573</v>
      </c>
    </row>
    <row r="437" spans="1:19" ht="36" customHeight="1">
      <c r="A437" s="17" t="s">
        <v>1576</v>
      </c>
      <c r="B437" s="17" t="s">
        <v>1562</v>
      </c>
      <c r="C437" s="17" t="s">
        <v>1563</v>
      </c>
      <c r="D437" s="17" t="s">
        <v>1163</v>
      </c>
      <c r="E437" s="18" t="s">
        <v>23</v>
      </c>
      <c r="F437" s="17" t="s">
        <v>132</v>
      </c>
      <c r="G437" s="17" t="s">
        <v>1577</v>
      </c>
      <c r="H437" s="19">
        <f>IF(LEN(G437)=0,"",IF(ISNUMBER(SEARCH(",",G437)),LEN(SUBSTITUTE(G437,",","xx"))-LEN(G437)+1,1))</f>
        <v>9</v>
      </c>
      <c r="I437" s="17" t="s">
        <v>1578</v>
      </c>
      <c r="J437" s="19">
        <f>IF(LEN(I437)=0,"",IF(ISNUMBER(SEARCH(",",I437)),LEN(SUBSTITUTE(I437,",","xx"))-LEN(I437)+1,1))</f>
        <v>18</v>
      </c>
      <c r="K437" s="18" t="s">
        <v>1571</v>
      </c>
      <c r="L437" s="18" t="s">
        <v>28</v>
      </c>
      <c r="M437" s="27">
        <v>0.74835542511156206</v>
      </c>
      <c r="N437" s="27">
        <v>7.1321515191544518E-3</v>
      </c>
      <c r="O437" s="28" t="str">
        <f>IF(AND(N437&lt;0.05,OR(AND(L437="升高改善",M437&gt;0),AND(L437="降低改善",M437&lt;0))),"校正","不校正")</f>
        <v>校正</v>
      </c>
      <c r="P437" s="18" t="s">
        <v>1579</v>
      </c>
      <c r="Q437" s="18" t="s">
        <v>159</v>
      </c>
      <c r="R437" s="18" t="s">
        <v>160</v>
      </c>
      <c r="S437" s="18"/>
    </row>
    <row r="438" spans="1:19" ht="36" customHeight="1">
      <c r="A438" s="17" t="s">
        <v>1580</v>
      </c>
      <c r="B438" s="17" t="s">
        <v>1562</v>
      </c>
      <c r="C438" s="17" t="s">
        <v>1563</v>
      </c>
      <c r="D438" s="17" t="s">
        <v>1163</v>
      </c>
      <c r="E438" s="18" t="s">
        <v>81</v>
      </c>
      <c r="F438" s="17" t="s">
        <v>82</v>
      </c>
      <c r="G438" s="17" t="s">
        <v>1577</v>
      </c>
      <c r="H438" s="19">
        <f>IF(LEN(G438)=0,"",IF(ISNUMBER(SEARCH(",",G438)),LEN(SUBSTITUTE(G438,",","xx"))-LEN(G438)+1,1))</f>
        <v>9</v>
      </c>
      <c r="I438" s="17" t="s">
        <v>1581</v>
      </c>
      <c r="J438" s="19">
        <f>IF(LEN(I438)=0,"",IF(ISNUMBER(SEARCH(",",I438)),LEN(SUBSTITUTE(I438,",","xx"))-LEN(I438)+1,1))</f>
        <v>4</v>
      </c>
      <c r="K438" s="18" t="s">
        <v>1571</v>
      </c>
      <c r="L438" s="18" t="s">
        <v>28</v>
      </c>
      <c r="M438" s="27">
        <v>0.74835542511156206</v>
      </c>
      <c r="N438" s="27">
        <v>7.1321515191544518E-3</v>
      </c>
      <c r="O438" s="28" t="str">
        <f>IF(AND(N438&lt;0.05,OR(AND(L438="升高改善",M438&gt;0),AND(L438="降低改善",M438&lt;0))),"校正","不校正")</f>
        <v>校正</v>
      </c>
      <c r="P438" s="18" t="s">
        <v>1582</v>
      </c>
      <c r="Q438" s="18" t="s">
        <v>159</v>
      </c>
      <c r="R438" s="18" t="s">
        <v>160</v>
      </c>
      <c r="S438" s="18"/>
    </row>
    <row r="439" spans="1:19" ht="48" customHeight="1">
      <c r="A439" s="17" t="s">
        <v>1583</v>
      </c>
      <c r="B439" s="17" t="s">
        <v>1562</v>
      </c>
      <c r="C439" s="17" t="s">
        <v>594</v>
      </c>
      <c r="D439" s="17" t="s">
        <v>1564</v>
      </c>
      <c r="E439" s="18" t="s">
        <v>23</v>
      </c>
      <c r="F439" s="17" t="s">
        <v>132</v>
      </c>
      <c r="G439" s="22"/>
      <c r="H439" s="23"/>
      <c r="I439" s="22"/>
      <c r="J439" s="23"/>
      <c r="K439" s="18" t="s">
        <v>1565</v>
      </c>
      <c r="L439" s="18" t="s">
        <v>28</v>
      </c>
      <c r="M439" s="20"/>
      <c r="N439" s="20"/>
      <c r="O439" s="21"/>
      <c r="P439" s="18" t="s">
        <v>1584</v>
      </c>
      <c r="Q439" s="18" t="s">
        <v>159</v>
      </c>
      <c r="R439" s="24" t="s">
        <v>94</v>
      </c>
      <c r="S439" s="18" t="s">
        <v>1585</v>
      </c>
    </row>
    <row r="440" spans="1:19" ht="48" customHeight="1">
      <c r="A440" s="17" t="s">
        <v>1586</v>
      </c>
      <c r="B440" s="17" t="s">
        <v>1562</v>
      </c>
      <c r="C440" s="17" t="s">
        <v>594</v>
      </c>
      <c r="D440" s="17" t="s">
        <v>1564</v>
      </c>
      <c r="E440" s="18" t="s">
        <v>81</v>
      </c>
      <c r="F440" s="17" t="s">
        <v>82</v>
      </c>
      <c r="G440" s="22"/>
      <c r="H440" s="23"/>
      <c r="I440" s="22"/>
      <c r="J440" s="23"/>
      <c r="K440" s="18" t="s">
        <v>1565</v>
      </c>
      <c r="L440" s="18" t="s">
        <v>28</v>
      </c>
      <c r="M440" s="20"/>
      <c r="N440" s="20"/>
      <c r="O440" s="21"/>
      <c r="P440" s="18" t="s">
        <v>1587</v>
      </c>
      <c r="Q440" s="18" t="s">
        <v>159</v>
      </c>
      <c r="R440" s="24" t="s">
        <v>94</v>
      </c>
      <c r="S440" s="18" t="s">
        <v>1588</v>
      </c>
    </row>
    <row r="441" spans="1:19" ht="36" customHeight="1">
      <c r="A441" s="17" t="s">
        <v>1589</v>
      </c>
      <c r="B441" s="17" t="s">
        <v>1562</v>
      </c>
      <c r="C441" s="17" t="s">
        <v>594</v>
      </c>
      <c r="D441" s="17" t="s">
        <v>1141</v>
      </c>
      <c r="E441" s="18" t="s">
        <v>23</v>
      </c>
      <c r="F441" s="17" t="s">
        <v>132</v>
      </c>
      <c r="G441" s="17" t="s">
        <v>1590</v>
      </c>
      <c r="H441" s="19">
        <f t="shared" ref="H441:H448" si="40">IF(LEN(G441)=0,"",IF(ISNUMBER(SEARCH(",",G441)),LEN(SUBSTITUTE(G441,",","xx"))-LEN(G441)+1,1))</f>
        <v>12</v>
      </c>
      <c r="I441" s="17" t="s">
        <v>1591</v>
      </c>
      <c r="J441" s="19">
        <f t="shared" ref="J441:J448" si="41">IF(LEN(I441)=0,"",IF(ISNUMBER(SEARCH(",",I441)),LEN(SUBSTITUTE(I441,",","xx"))-LEN(I441)+1,1))</f>
        <v>15</v>
      </c>
      <c r="K441" s="18" t="s">
        <v>1571</v>
      </c>
      <c r="L441" s="18" t="s">
        <v>28</v>
      </c>
      <c r="M441" s="27">
        <v>0.50995046262866417</v>
      </c>
      <c r="N441" s="27">
        <v>3.3629996320024232E-2</v>
      </c>
      <c r="O441" s="28" t="str">
        <f t="shared" ref="O441:O448" si="42">IF(AND(N441&lt;0.05,OR(AND(L441="升高改善",M441&gt;0),AND(L441="降低改善",M441&lt;0))),"校正","不校正")</f>
        <v>校正</v>
      </c>
      <c r="P441" s="18" t="s">
        <v>1592</v>
      </c>
      <c r="Q441" s="18" t="s">
        <v>159</v>
      </c>
      <c r="R441" s="18" t="s">
        <v>160</v>
      </c>
      <c r="S441" s="18"/>
    </row>
    <row r="442" spans="1:19" ht="36" customHeight="1">
      <c r="A442" s="17" t="s">
        <v>1593</v>
      </c>
      <c r="B442" s="17" t="s">
        <v>1562</v>
      </c>
      <c r="C442" s="17" t="s">
        <v>594</v>
      </c>
      <c r="D442" s="17" t="s">
        <v>1141</v>
      </c>
      <c r="E442" s="18" t="s">
        <v>81</v>
      </c>
      <c r="F442" s="17" t="s">
        <v>82</v>
      </c>
      <c r="G442" s="17" t="s">
        <v>1590</v>
      </c>
      <c r="H442" s="19">
        <f t="shared" si="40"/>
        <v>12</v>
      </c>
      <c r="I442" s="17" t="s">
        <v>1594</v>
      </c>
      <c r="J442" s="19">
        <f t="shared" si="41"/>
        <v>4</v>
      </c>
      <c r="K442" s="18" t="s">
        <v>1571</v>
      </c>
      <c r="L442" s="18" t="s">
        <v>28</v>
      </c>
      <c r="M442" s="27">
        <v>0.50995046262866417</v>
      </c>
      <c r="N442" s="27">
        <v>3.3629996320024232E-2</v>
      </c>
      <c r="O442" s="28" t="str">
        <f t="shared" si="42"/>
        <v>校正</v>
      </c>
      <c r="P442" s="18" t="s">
        <v>1595</v>
      </c>
      <c r="Q442" s="18" t="s">
        <v>159</v>
      </c>
      <c r="R442" s="18" t="s">
        <v>160</v>
      </c>
      <c r="S442" s="18"/>
    </row>
    <row r="443" spans="1:19" ht="36" customHeight="1">
      <c r="A443" s="17" t="s">
        <v>1596</v>
      </c>
      <c r="B443" s="17" t="s">
        <v>1562</v>
      </c>
      <c r="C443" s="17" t="s">
        <v>594</v>
      </c>
      <c r="D443" s="17" t="s">
        <v>1163</v>
      </c>
      <c r="E443" s="18" t="s">
        <v>23</v>
      </c>
      <c r="F443" s="17" t="s">
        <v>132</v>
      </c>
      <c r="G443" s="17" t="s">
        <v>1597</v>
      </c>
      <c r="H443" s="19">
        <f t="shared" si="40"/>
        <v>12</v>
      </c>
      <c r="I443" s="17" t="s">
        <v>1598</v>
      </c>
      <c r="J443" s="19">
        <f t="shared" si="41"/>
        <v>15</v>
      </c>
      <c r="K443" s="18" t="s">
        <v>1571</v>
      </c>
      <c r="L443" s="18" t="s">
        <v>28</v>
      </c>
      <c r="M443" s="27">
        <v>0.51958873331764388</v>
      </c>
      <c r="N443" s="27">
        <v>3.4122615797155829E-2</v>
      </c>
      <c r="O443" s="28" t="str">
        <f t="shared" si="42"/>
        <v>校正</v>
      </c>
      <c r="P443" s="18" t="s">
        <v>1599</v>
      </c>
      <c r="Q443" s="18" t="s">
        <v>159</v>
      </c>
      <c r="R443" s="18" t="s">
        <v>160</v>
      </c>
      <c r="S443" s="18"/>
    </row>
    <row r="444" spans="1:19" ht="36" customHeight="1">
      <c r="A444" s="17" t="s">
        <v>1600</v>
      </c>
      <c r="B444" s="17" t="s">
        <v>1562</v>
      </c>
      <c r="C444" s="17" t="s">
        <v>594</v>
      </c>
      <c r="D444" s="17" t="s">
        <v>1163</v>
      </c>
      <c r="E444" s="18" t="s">
        <v>81</v>
      </c>
      <c r="F444" s="17" t="s">
        <v>82</v>
      </c>
      <c r="G444" s="17" t="s">
        <v>1597</v>
      </c>
      <c r="H444" s="19">
        <f t="shared" si="40"/>
        <v>12</v>
      </c>
      <c r="I444" s="17" t="s">
        <v>1601</v>
      </c>
      <c r="J444" s="19">
        <f t="shared" si="41"/>
        <v>4</v>
      </c>
      <c r="K444" s="18" t="s">
        <v>1571</v>
      </c>
      <c r="L444" s="18" t="s">
        <v>28</v>
      </c>
      <c r="M444" s="27">
        <v>0.51958873331764388</v>
      </c>
      <c r="N444" s="27">
        <v>3.4122615797155829E-2</v>
      </c>
      <c r="O444" s="28" t="str">
        <f t="shared" si="42"/>
        <v>校正</v>
      </c>
      <c r="P444" s="18" t="s">
        <v>1602</v>
      </c>
      <c r="Q444" s="18" t="s">
        <v>159</v>
      </c>
      <c r="R444" s="18" t="s">
        <v>160</v>
      </c>
      <c r="S444" s="18"/>
    </row>
    <row r="445" spans="1:19" ht="48" customHeight="1">
      <c r="A445" s="17" t="s">
        <v>1603</v>
      </c>
      <c r="B445" s="17" t="s">
        <v>1562</v>
      </c>
      <c r="C445" s="17" t="s">
        <v>1604</v>
      </c>
      <c r="D445" s="17" t="s">
        <v>1564</v>
      </c>
      <c r="E445" s="18" t="s">
        <v>23</v>
      </c>
      <c r="F445" s="17" t="s">
        <v>132</v>
      </c>
      <c r="G445" s="17" t="s">
        <v>1605</v>
      </c>
      <c r="H445" s="19">
        <f t="shared" si="40"/>
        <v>17</v>
      </c>
      <c r="I445" s="17" t="s">
        <v>1606</v>
      </c>
      <c r="J445" s="19">
        <f t="shared" si="41"/>
        <v>10</v>
      </c>
      <c r="K445" s="18" t="s">
        <v>1565</v>
      </c>
      <c r="L445" s="18" t="s">
        <v>28</v>
      </c>
      <c r="M445" s="27">
        <v>0.36305409909144726</v>
      </c>
      <c r="N445" s="27">
        <v>5.8607627745912987E-2</v>
      </c>
      <c r="O445" s="28" t="str">
        <f t="shared" si="42"/>
        <v>不校正</v>
      </c>
      <c r="P445" s="18" t="s">
        <v>1607</v>
      </c>
      <c r="Q445" s="18" t="s">
        <v>159</v>
      </c>
      <c r="R445" s="18" t="s">
        <v>160</v>
      </c>
      <c r="S445" s="18"/>
    </row>
    <row r="446" spans="1:19" ht="48" customHeight="1">
      <c r="A446" s="17" t="s">
        <v>1608</v>
      </c>
      <c r="B446" s="17" t="s">
        <v>1562</v>
      </c>
      <c r="C446" s="17" t="s">
        <v>1604</v>
      </c>
      <c r="D446" s="17" t="s">
        <v>1564</v>
      </c>
      <c r="E446" s="18" t="s">
        <v>81</v>
      </c>
      <c r="F446" s="17" t="s">
        <v>82</v>
      </c>
      <c r="G446" s="17" t="s">
        <v>1605</v>
      </c>
      <c r="H446" s="19">
        <f t="shared" si="40"/>
        <v>17</v>
      </c>
      <c r="I446" s="17" t="s">
        <v>1609</v>
      </c>
      <c r="J446" s="19">
        <f t="shared" si="41"/>
        <v>4</v>
      </c>
      <c r="K446" s="18" t="s">
        <v>1565</v>
      </c>
      <c r="L446" s="18" t="s">
        <v>28</v>
      </c>
      <c r="M446" s="27">
        <v>0.36305409909144726</v>
      </c>
      <c r="N446" s="27">
        <v>5.8607627745912987E-2</v>
      </c>
      <c r="O446" s="28" t="str">
        <f t="shared" si="42"/>
        <v>不校正</v>
      </c>
      <c r="P446" s="18" t="s">
        <v>1610</v>
      </c>
      <c r="Q446" s="18" t="s">
        <v>159</v>
      </c>
      <c r="R446" s="18" t="s">
        <v>160</v>
      </c>
      <c r="S446" s="18"/>
    </row>
    <row r="447" spans="1:19" ht="36" customHeight="1">
      <c r="A447" s="17" t="s">
        <v>1611</v>
      </c>
      <c r="B447" s="17" t="s">
        <v>1562</v>
      </c>
      <c r="C447" s="17" t="s">
        <v>1604</v>
      </c>
      <c r="D447" s="17" t="s">
        <v>1141</v>
      </c>
      <c r="E447" s="18" t="s">
        <v>23</v>
      </c>
      <c r="F447" s="17" t="s">
        <v>132</v>
      </c>
      <c r="G447" s="17" t="s">
        <v>1612</v>
      </c>
      <c r="H447" s="19">
        <f t="shared" si="40"/>
        <v>17</v>
      </c>
      <c r="I447" s="17" t="s">
        <v>1613</v>
      </c>
      <c r="J447" s="19">
        <f t="shared" si="41"/>
        <v>10</v>
      </c>
      <c r="K447" s="18" t="s">
        <v>1571</v>
      </c>
      <c r="L447" s="18" t="s">
        <v>28</v>
      </c>
      <c r="M447" s="27">
        <v>0.18077538151554681</v>
      </c>
      <c r="N447" s="27">
        <v>0.36723238804062708</v>
      </c>
      <c r="O447" s="28" t="str">
        <f t="shared" si="42"/>
        <v>不校正</v>
      </c>
      <c r="P447" s="18" t="s">
        <v>1614</v>
      </c>
      <c r="Q447" s="18" t="s">
        <v>159</v>
      </c>
      <c r="R447" s="18" t="s">
        <v>160</v>
      </c>
      <c r="S447" s="18"/>
    </row>
    <row r="448" spans="1:19" ht="36" customHeight="1">
      <c r="A448" s="17" t="s">
        <v>1615</v>
      </c>
      <c r="B448" s="17" t="s">
        <v>1562</v>
      </c>
      <c r="C448" s="17" t="s">
        <v>1604</v>
      </c>
      <c r="D448" s="17" t="s">
        <v>1141</v>
      </c>
      <c r="E448" s="18" t="s">
        <v>81</v>
      </c>
      <c r="F448" s="17" t="s">
        <v>82</v>
      </c>
      <c r="G448" s="17" t="s">
        <v>1612</v>
      </c>
      <c r="H448" s="19">
        <f t="shared" si="40"/>
        <v>17</v>
      </c>
      <c r="I448" s="17" t="s">
        <v>1616</v>
      </c>
      <c r="J448" s="19">
        <f t="shared" si="41"/>
        <v>4</v>
      </c>
      <c r="K448" s="18" t="s">
        <v>1571</v>
      </c>
      <c r="L448" s="18" t="s">
        <v>28</v>
      </c>
      <c r="M448" s="27">
        <v>0.18077538151554681</v>
      </c>
      <c r="N448" s="27">
        <v>0.36723238804062708</v>
      </c>
      <c r="O448" s="28" t="str">
        <f t="shared" si="42"/>
        <v>不校正</v>
      </c>
      <c r="P448" s="18" t="s">
        <v>1617</v>
      </c>
      <c r="Q448" s="18" t="s">
        <v>159</v>
      </c>
      <c r="R448" s="18" t="s">
        <v>160</v>
      </c>
      <c r="S448" s="18"/>
    </row>
    <row r="449" spans="1:19" ht="36" customHeight="1">
      <c r="A449" s="17" t="s">
        <v>1618</v>
      </c>
      <c r="B449" s="17" t="s">
        <v>1562</v>
      </c>
      <c r="C449" s="17" t="s">
        <v>1604</v>
      </c>
      <c r="D449" s="17" t="s">
        <v>1163</v>
      </c>
      <c r="E449" s="18" t="s">
        <v>23</v>
      </c>
      <c r="F449" s="17" t="s">
        <v>132</v>
      </c>
      <c r="G449" s="22"/>
      <c r="H449" s="23"/>
      <c r="I449" s="22"/>
      <c r="J449" s="23"/>
      <c r="K449" s="18" t="s">
        <v>1571</v>
      </c>
      <c r="L449" s="18" t="s">
        <v>28</v>
      </c>
      <c r="M449" s="20"/>
      <c r="N449" s="20"/>
      <c r="O449" s="21"/>
      <c r="P449" s="18" t="s">
        <v>1619</v>
      </c>
      <c r="Q449" s="18" t="s">
        <v>159</v>
      </c>
      <c r="R449" s="24" t="s">
        <v>94</v>
      </c>
      <c r="S449" s="18" t="s">
        <v>1620</v>
      </c>
    </row>
    <row r="450" spans="1:19" ht="36" customHeight="1">
      <c r="A450" s="17" t="s">
        <v>1621</v>
      </c>
      <c r="B450" s="17" t="s">
        <v>1562</v>
      </c>
      <c r="C450" s="17" t="s">
        <v>1604</v>
      </c>
      <c r="D450" s="17" t="s">
        <v>1163</v>
      </c>
      <c r="E450" s="18" t="s">
        <v>81</v>
      </c>
      <c r="F450" s="17" t="s">
        <v>82</v>
      </c>
      <c r="G450" s="17" t="s">
        <v>1622</v>
      </c>
      <c r="H450" s="19">
        <f>IF(LEN(G450)=0,"",IF(ISNUMBER(SEARCH(",",G450)),LEN(SUBSTITUTE(G450,",","xx"))-LEN(G450)+1,1))</f>
        <v>17</v>
      </c>
      <c r="I450" s="17" t="s">
        <v>1623</v>
      </c>
      <c r="J450" s="19">
        <f>IF(LEN(I450)=0,"",IF(ISNUMBER(SEARCH(",",I450)),LEN(SUBSTITUTE(I450,",","xx"))-LEN(I450)+1,1))</f>
        <v>4</v>
      </c>
      <c r="K450" s="18" t="s">
        <v>1571</v>
      </c>
      <c r="L450" s="18" t="s">
        <v>28</v>
      </c>
      <c r="M450" s="27">
        <v>0.40902330751908655</v>
      </c>
      <c r="N450" s="27">
        <v>3.9910585710271354E-2</v>
      </c>
      <c r="O450" s="28" t="str">
        <f>IF(AND(N450&lt;0.05,OR(AND(L450="升高改善",M450&gt;0),AND(L450="降低改善",M450&lt;0))),"校正","不校正")</f>
        <v>校正</v>
      </c>
      <c r="P450" s="18" t="s">
        <v>1624</v>
      </c>
      <c r="Q450" s="18" t="s">
        <v>159</v>
      </c>
      <c r="R450" s="18" t="s">
        <v>160</v>
      </c>
      <c r="S450" s="18"/>
    </row>
    <row r="451" spans="1:19" ht="60" customHeight="1">
      <c r="A451" s="2" t="s">
        <v>1625</v>
      </c>
      <c r="B451" s="2" t="s">
        <v>1626</v>
      </c>
      <c r="C451" s="31" t="s">
        <v>1627</v>
      </c>
      <c r="D451" s="2" t="s">
        <v>1628</v>
      </c>
      <c r="E451" s="3" t="s">
        <v>23</v>
      </c>
      <c r="F451" s="2" t="s">
        <v>132</v>
      </c>
      <c r="G451" s="33"/>
      <c r="H451" s="34"/>
      <c r="I451" s="33"/>
      <c r="J451" s="34"/>
      <c r="K451" s="3" t="s">
        <v>64</v>
      </c>
      <c r="L451" s="3" t="s">
        <v>28</v>
      </c>
      <c r="M451" s="15"/>
      <c r="N451" s="15"/>
      <c r="O451" s="16"/>
      <c r="P451" s="3" t="s">
        <v>1629</v>
      </c>
      <c r="Q451" s="3" t="s">
        <v>159</v>
      </c>
      <c r="R451" s="35" t="s">
        <v>94</v>
      </c>
      <c r="S451" s="3" t="s">
        <v>1630</v>
      </c>
    </row>
    <row r="452" spans="1:19" ht="60" customHeight="1">
      <c r="A452" s="7" t="s">
        <v>1631</v>
      </c>
      <c r="B452" s="7" t="s">
        <v>1626</v>
      </c>
      <c r="C452" s="32" t="s">
        <v>1627</v>
      </c>
      <c r="D452" s="7" t="s">
        <v>1632</v>
      </c>
      <c r="E452" s="8" t="s">
        <v>23</v>
      </c>
      <c r="F452" s="7" t="s">
        <v>132</v>
      </c>
      <c r="G452" s="7" t="s">
        <v>335</v>
      </c>
      <c r="H452" s="9">
        <f>IF(LEN(G452)=0,"",IF(ISNUMBER(SEARCH(",",G452)),LEN(SUBSTITUTE(G452,",","xx"))-LEN(G452)+1,1))</f>
        <v>4</v>
      </c>
      <c r="I452" s="7" t="s">
        <v>1633</v>
      </c>
      <c r="J452" s="9">
        <f>IF(LEN(I452)=0,"",IF(ISNUMBER(SEARCH(",",I452)),LEN(SUBSTITUTE(I452,",","xx"))-LEN(I452)+1,1))</f>
        <v>31</v>
      </c>
      <c r="K452" s="8" t="s">
        <v>1348</v>
      </c>
      <c r="L452" s="8" t="s">
        <v>28</v>
      </c>
      <c r="M452" s="20"/>
      <c r="N452" s="20"/>
      <c r="O452" s="21" t="s">
        <v>190</v>
      </c>
      <c r="P452" s="8" t="s">
        <v>1634</v>
      </c>
      <c r="Q452" s="8" t="s">
        <v>159</v>
      </c>
      <c r="R452" s="8" t="s">
        <v>160</v>
      </c>
      <c r="S452" s="8" t="s">
        <v>192</v>
      </c>
    </row>
    <row r="453" spans="1:19" ht="60" customHeight="1">
      <c r="A453" s="7" t="s">
        <v>1635</v>
      </c>
      <c r="B453" s="7" t="s">
        <v>1626</v>
      </c>
      <c r="C453" s="32" t="s">
        <v>1636</v>
      </c>
      <c r="D453" s="7" t="s">
        <v>1628</v>
      </c>
      <c r="E453" s="8" t="s">
        <v>23</v>
      </c>
      <c r="F453" s="7" t="s">
        <v>132</v>
      </c>
      <c r="G453" s="22"/>
      <c r="H453" s="23"/>
      <c r="I453" s="22"/>
      <c r="J453" s="23"/>
      <c r="K453" s="8" t="s">
        <v>64</v>
      </c>
      <c r="L453" s="8" t="s">
        <v>28</v>
      </c>
      <c r="M453" s="20"/>
      <c r="N453" s="20"/>
      <c r="O453" s="21"/>
      <c r="P453" s="8" t="s">
        <v>1637</v>
      </c>
      <c r="Q453" s="8" t="s">
        <v>159</v>
      </c>
      <c r="R453" s="24" t="s">
        <v>94</v>
      </c>
      <c r="S453" s="8" t="s">
        <v>1630</v>
      </c>
    </row>
    <row r="454" spans="1:19" ht="60" customHeight="1">
      <c r="A454" s="7" t="s">
        <v>1638</v>
      </c>
      <c r="B454" s="7" t="s">
        <v>1626</v>
      </c>
      <c r="C454" s="32" t="s">
        <v>1636</v>
      </c>
      <c r="D454" s="7" t="s">
        <v>1632</v>
      </c>
      <c r="E454" s="8" t="s">
        <v>23</v>
      </c>
      <c r="F454" s="7" t="s">
        <v>132</v>
      </c>
      <c r="G454" s="7" t="s">
        <v>335</v>
      </c>
      <c r="H454" s="9">
        <f t="shared" ref="H454:H474" si="43">IF(LEN(G454)=0,"",IF(ISNUMBER(SEARCH(",",G454)),LEN(SUBSTITUTE(G454,",","xx"))-LEN(G454)+1,1))</f>
        <v>4</v>
      </c>
      <c r="I454" s="7" t="s">
        <v>1639</v>
      </c>
      <c r="J454" s="9">
        <f t="shared" ref="J454:J474" si="44">IF(LEN(I454)=0,"",IF(ISNUMBER(SEARCH(",",I454)),LEN(SUBSTITUTE(I454,",","xx"))-LEN(I454)+1,1))</f>
        <v>30</v>
      </c>
      <c r="K454" s="8" t="s">
        <v>1348</v>
      </c>
      <c r="L454" s="8" t="s">
        <v>28</v>
      </c>
      <c r="M454" s="20"/>
      <c r="N454" s="20"/>
      <c r="O454" s="21" t="s">
        <v>190</v>
      </c>
      <c r="P454" s="8" t="s">
        <v>1640</v>
      </c>
      <c r="Q454" s="8" t="s">
        <v>159</v>
      </c>
      <c r="R454" s="8" t="s">
        <v>160</v>
      </c>
      <c r="S454" s="8" t="s">
        <v>192</v>
      </c>
    </row>
    <row r="455" spans="1:19" ht="60" customHeight="1">
      <c r="A455" s="7" t="s">
        <v>1641</v>
      </c>
      <c r="B455" s="7" t="s">
        <v>1626</v>
      </c>
      <c r="C455" s="32" t="s">
        <v>1642</v>
      </c>
      <c r="D455" s="7" t="s">
        <v>1628</v>
      </c>
      <c r="E455" s="8" t="s">
        <v>23</v>
      </c>
      <c r="F455" s="7" t="s">
        <v>132</v>
      </c>
      <c r="G455" s="7" t="s">
        <v>1643</v>
      </c>
      <c r="H455" s="9">
        <f t="shared" si="43"/>
        <v>7</v>
      </c>
      <c r="I455" s="7" t="s">
        <v>1644</v>
      </c>
      <c r="J455" s="9">
        <f t="shared" si="44"/>
        <v>27</v>
      </c>
      <c r="K455" s="8" t="s">
        <v>64</v>
      </c>
      <c r="L455" s="8" t="s">
        <v>28</v>
      </c>
      <c r="M455" s="10">
        <v>0.29277002188455997</v>
      </c>
      <c r="N455" s="10">
        <v>0.36205019220035833</v>
      </c>
      <c r="O455" s="11" t="str">
        <f t="shared" ref="O455:O474" si="45">IF(AND(N455&lt;0.05,OR(AND(L455="升高改善",M455&gt;0),AND(L455="降低改善",M455&lt;0))),"校正","不校正")</f>
        <v>不校正</v>
      </c>
      <c r="P455" s="8" t="s">
        <v>1645</v>
      </c>
      <c r="Q455" s="8" t="s">
        <v>159</v>
      </c>
      <c r="R455" s="8" t="s">
        <v>160</v>
      </c>
      <c r="S455" s="8"/>
    </row>
    <row r="456" spans="1:19" ht="60" customHeight="1">
      <c r="A456" s="7" t="s">
        <v>1646</v>
      </c>
      <c r="B456" s="7" t="s">
        <v>1626</v>
      </c>
      <c r="C456" s="32" t="s">
        <v>1642</v>
      </c>
      <c r="D456" s="7" t="s">
        <v>1632</v>
      </c>
      <c r="E456" s="8" t="s">
        <v>23</v>
      </c>
      <c r="F456" s="7" t="s">
        <v>132</v>
      </c>
      <c r="G456" s="7" t="s">
        <v>1647</v>
      </c>
      <c r="H456" s="9">
        <f t="shared" si="43"/>
        <v>7</v>
      </c>
      <c r="I456" s="7" t="s">
        <v>1648</v>
      </c>
      <c r="J456" s="9">
        <f t="shared" si="44"/>
        <v>27</v>
      </c>
      <c r="K456" s="8" t="s">
        <v>1348</v>
      </c>
      <c r="L456" s="8" t="s">
        <v>28</v>
      </c>
      <c r="M456" s="10">
        <v>5.2925612402496311E-2</v>
      </c>
      <c r="N456" s="10">
        <v>0.87384469851737334</v>
      </c>
      <c r="O456" s="11" t="str">
        <f t="shared" si="45"/>
        <v>不校正</v>
      </c>
      <c r="P456" s="8" t="s">
        <v>1649</v>
      </c>
      <c r="Q456" s="8" t="s">
        <v>159</v>
      </c>
      <c r="R456" s="8" t="s">
        <v>160</v>
      </c>
      <c r="S456" s="8"/>
    </row>
    <row r="457" spans="1:19" ht="60" customHeight="1">
      <c r="A457" s="7" t="s">
        <v>1650</v>
      </c>
      <c r="B457" s="7" t="s">
        <v>1626</v>
      </c>
      <c r="C457" s="32" t="s">
        <v>1651</v>
      </c>
      <c r="D457" s="7" t="s">
        <v>1628</v>
      </c>
      <c r="E457" s="8" t="s">
        <v>23</v>
      </c>
      <c r="F457" s="7" t="s">
        <v>132</v>
      </c>
      <c r="G457" s="7" t="s">
        <v>1652</v>
      </c>
      <c r="H457" s="9">
        <f t="shared" si="43"/>
        <v>8</v>
      </c>
      <c r="I457" s="7" t="s">
        <v>1653</v>
      </c>
      <c r="J457" s="9">
        <f t="shared" si="44"/>
        <v>10</v>
      </c>
      <c r="K457" s="8" t="s">
        <v>64</v>
      </c>
      <c r="L457" s="8" t="s">
        <v>28</v>
      </c>
      <c r="M457" s="10">
        <v>0.2672612419124244</v>
      </c>
      <c r="N457" s="10">
        <v>0.38974865543802623</v>
      </c>
      <c r="O457" s="11" t="str">
        <f t="shared" si="45"/>
        <v>不校正</v>
      </c>
      <c r="P457" s="8" t="s">
        <v>1654</v>
      </c>
      <c r="Q457" s="8" t="s">
        <v>159</v>
      </c>
      <c r="R457" s="8" t="s">
        <v>160</v>
      </c>
      <c r="S457" s="8"/>
    </row>
    <row r="458" spans="1:19" ht="60" customHeight="1">
      <c r="A458" s="7" t="s">
        <v>1655</v>
      </c>
      <c r="B458" s="7" t="s">
        <v>1626</v>
      </c>
      <c r="C458" s="32" t="s">
        <v>1651</v>
      </c>
      <c r="D458" s="7" t="s">
        <v>1632</v>
      </c>
      <c r="E458" s="8" t="s">
        <v>23</v>
      </c>
      <c r="F458" s="7" t="s">
        <v>132</v>
      </c>
      <c r="G458" s="7" t="s">
        <v>1656</v>
      </c>
      <c r="H458" s="9">
        <f t="shared" si="43"/>
        <v>8</v>
      </c>
      <c r="I458" s="7" t="s">
        <v>1657</v>
      </c>
      <c r="J458" s="9">
        <f t="shared" si="44"/>
        <v>12</v>
      </c>
      <c r="K458" s="8" t="s">
        <v>1348</v>
      </c>
      <c r="L458" s="8" t="s">
        <v>28</v>
      </c>
      <c r="M458" s="10">
        <v>-0.24174688920761409</v>
      </c>
      <c r="N458" s="10">
        <v>0.42542002046934857</v>
      </c>
      <c r="O458" s="11" t="str">
        <f t="shared" si="45"/>
        <v>不校正</v>
      </c>
      <c r="P458" s="8" t="s">
        <v>1658</v>
      </c>
      <c r="Q458" s="8" t="s">
        <v>159</v>
      </c>
      <c r="R458" s="8" t="s">
        <v>160</v>
      </c>
      <c r="S458" s="8"/>
    </row>
    <row r="459" spans="1:19" ht="60" customHeight="1">
      <c r="A459" s="7" t="s">
        <v>1659</v>
      </c>
      <c r="B459" s="7" t="s">
        <v>1626</v>
      </c>
      <c r="C459" s="32" t="s">
        <v>1660</v>
      </c>
      <c r="D459" s="7" t="s">
        <v>1628</v>
      </c>
      <c r="E459" s="8" t="s">
        <v>23</v>
      </c>
      <c r="F459" s="7" t="s">
        <v>132</v>
      </c>
      <c r="G459" s="7" t="s">
        <v>1661</v>
      </c>
      <c r="H459" s="9">
        <f t="shared" si="43"/>
        <v>13</v>
      </c>
      <c r="I459" s="7" t="s">
        <v>1662</v>
      </c>
      <c r="J459" s="9">
        <f t="shared" si="44"/>
        <v>26</v>
      </c>
      <c r="K459" s="8" t="s">
        <v>64</v>
      </c>
      <c r="L459" s="8" t="s">
        <v>28</v>
      </c>
      <c r="M459" s="10">
        <v>-4.0893041005476534E-2</v>
      </c>
      <c r="N459" s="10">
        <v>0.8515548977976366</v>
      </c>
      <c r="O459" s="11" t="str">
        <f t="shared" si="45"/>
        <v>不校正</v>
      </c>
      <c r="P459" s="8" t="s">
        <v>1663</v>
      </c>
      <c r="Q459" s="8" t="s">
        <v>159</v>
      </c>
      <c r="R459" s="8" t="s">
        <v>160</v>
      </c>
      <c r="S459" s="8"/>
    </row>
    <row r="460" spans="1:19" ht="60" customHeight="1">
      <c r="A460" s="7" t="s">
        <v>1664</v>
      </c>
      <c r="B460" s="7" t="s">
        <v>1626</v>
      </c>
      <c r="C460" s="32" t="s">
        <v>1660</v>
      </c>
      <c r="D460" s="7" t="s">
        <v>1632</v>
      </c>
      <c r="E460" s="8" t="s">
        <v>23</v>
      </c>
      <c r="F460" s="7" t="s">
        <v>132</v>
      </c>
      <c r="G460" s="7" t="s">
        <v>1665</v>
      </c>
      <c r="H460" s="9">
        <f t="shared" si="43"/>
        <v>13</v>
      </c>
      <c r="I460" s="7" t="s">
        <v>1666</v>
      </c>
      <c r="J460" s="9">
        <f t="shared" si="44"/>
        <v>28</v>
      </c>
      <c r="K460" s="8" t="s">
        <v>1348</v>
      </c>
      <c r="L460" s="8" t="s">
        <v>28</v>
      </c>
      <c r="M460" s="10">
        <v>-3.0261376633440123E-2</v>
      </c>
      <c r="N460" s="10">
        <v>0.8935370664641592</v>
      </c>
      <c r="O460" s="11" t="str">
        <f t="shared" si="45"/>
        <v>不校正</v>
      </c>
      <c r="P460" s="8" t="s">
        <v>1667</v>
      </c>
      <c r="Q460" s="8" t="s">
        <v>159</v>
      </c>
      <c r="R460" s="8" t="s">
        <v>160</v>
      </c>
      <c r="S460" s="8"/>
    </row>
    <row r="461" spans="1:19" ht="60" customHeight="1">
      <c r="A461" s="7" t="s">
        <v>1668</v>
      </c>
      <c r="B461" s="7" t="s">
        <v>1626</v>
      </c>
      <c r="C461" s="32" t="s">
        <v>1669</v>
      </c>
      <c r="D461" s="7" t="s">
        <v>1628</v>
      </c>
      <c r="E461" s="8" t="s">
        <v>23</v>
      </c>
      <c r="F461" s="7" t="s">
        <v>132</v>
      </c>
      <c r="G461" s="7" t="s">
        <v>1670</v>
      </c>
      <c r="H461" s="9">
        <f t="shared" si="43"/>
        <v>14</v>
      </c>
      <c r="I461" s="7" t="s">
        <v>1671</v>
      </c>
      <c r="J461" s="9">
        <f t="shared" si="44"/>
        <v>29</v>
      </c>
      <c r="K461" s="8" t="s">
        <v>64</v>
      </c>
      <c r="L461" s="8" t="s">
        <v>28</v>
      </c>
      <c r="M461" s="10">
        <v>0</v>
      </c>
      <c r="N461" s="10">
        <v>1</v>
      </c>
      <c r="O461" s="11" t="str">
        <f t="shared" si="45"/>
        <v>不校正</v>
      </c>
      <c r="P461" s="8" t="s">
        <v>1672</v>
      </c>
      <c r="Q461" s="8" t="s">
        <v>159</v>
      </c>
      <c r="R461" s="8" t="s">
        <v>160</v>
      </c>
      <c r="S461" s="8"/>
    </row>
    <row r="462" spans="1:19" ht="60" customHeight="1">
      <c r="A462" s="7" t="s">
        <v>1673</v>
      </c>
      <c r="B462" s="7" t="s">
        <v>1626</v>
      </c>
      <c r="C462" s="32" t="s">
        <v>1669</v>
      </c>
      <c r="D462" s="7" t="s">
        <v>1632</v>
      </c>
      <c r="E462" s="8" t="s">
        <v>23</v>
      </c>
      <c r="F462" s="7" t="s">
        <v>132</v>
      </c>
      <c r="G462" s="7" t="s">
        <v>1674</v>
      </c>
      <c r="H462" s="9">
        <f t="shared" si="43"/>
        <v>14</v>
      </c>
      <c r="I462" s="7" t="s">
        <v>1675</v>
      </c>
      <c r="J462" s="9">
        <f t="shared" si="44"/>
        <v>28</v>
      </c>
      <c r="K462" s="8" t="s">
        <v>1348</v>
      </c>
      <c r="L462" s="8" t="s">
        <v>28</v>
      </c>
      <c r="M462" s="10">
        <v>0.20047040441303524</v>
      </c>
      <c r="N462" s="10">
        <v>0.35507591027046359</v>
      </c>
      <c r="O462" s="11" t="str">
        <f t="shared" si="45"/>
        <v>不校正</v>
      </c>
      <c r="P462" s="8" t="s">
        <v>1676</v>
      </c>
      <c r="Q462" s="8" t="s">
        <v>159</v>
      </c>
      <c r="R462" s="8" t="s">
        <v>160</v>
      </c>
      <c r="S462" s="8"/>
    </row>
    <row r="463" spans="1:19" ht="36" customHeight="1">
      <c r="A463" s="12" t="s">
        <v>1677</v>
      </c>
      <c r="B463" s="12" t="s">
        <v>1678</v>
      </c>
      <c r="C463" s="12" t="s">
        <v>1679</v>
      </c>
      <c r="D463" s="12" t="s">
        <v>1680</v>
      </c>
      <c r="E463" s="13" t="s">
        <v>23</v>
      </c>
      <c r="F463" s="12" t="s">
        <v>132</v>
      </c>
      <c r="G463" s="12" t="s">
        <v>1681</v>
      </c>
      <c r="H463" s="14">
        <f t="shared" si="43"/>
        <v>3</v>
      </c>
      <c r="I463" s="12" t="s">
        <v>1682</v>
      </c>
      <c r="J463" s="14">
        <f t="shared" si="44"/>
        <v>10</v>
      </c>
      <c r="K463" s="13" t="s">
        <v>1683</v>
      </c>
      <c r="L463" s="13" t="s">
        <v>101</v>
      </c>
      <c r="M463" s="25">
        <v>0</v>
      </c>
      <c r="N463" s="25">
        <v>1</v>
      </c>
      <c r="O463" s="26" t="str">
        <f t="shared" si="45"/>
        <v>不校正</v>
      </c>
      <c r="P463" s="13" t="s">
        <v>1684</v>
      </c>
      <c r="Q463" s="13" t="s">
        <v>159</v>
      </c>
      <c r="R463" s="13" t="s">
        <v>160</v>
      </c>
      <c r="S463" s="13"/>
    </row>
    <row r="464" spans="1:19" ht="36" customHeight="1">
      <c r="A464" s="17" t="s">
        <v>1685</v>
      </c>
      <c r="B464" s="17" t="s">
        <v>1678</v>
      </c>
      <c r="C464" s="17" t="s">
        <v>1679</v>
      </c>
      <c r="D464" s="17" t="s">
        <v>1680</v>
      </c>
      <c r="E464" s="18" t="s">
        <v>81</v>
      </c>
      <c r="F464" s="17" t="s">
        <v>995</v>
      </c>
      <c r="G464" s="17" t="s">
        <v>1681</v>
      </c>
      <c r="H464" s="19">
        <f t="shared" si="43"/>
        <v>3</v>
      </c>
      <c r="I464" s="17" t="s">
        <v>1686</v>
      </c>
      <c r="J464" s="19">
        <f t="shared" si="44"/>
        <v>4</v>
      </c>
      <c r="K464" s="18" t="s">
        <v>1683</v>
      </c>
      <c r="L464" s="18" t="s">
        <v>101</v>
      </c>
      <c r="M464" s="27">
        <v>0</v>
      </c>
      <c r="N464" s="27">
        <v>1</v>
      </c>
      <c r="O464" s="28" t="str">
        <f t="shared" si="45"/>
        <v>不校正</v>
      </c>
      <c r="P464" s="18" t="s">
        <v>1684</v>
      </c>
      <c r="Q464" s="18" t="s">
        <v>159</v>
      </c>
      <c r="R464" s="18" t="s">
        <v>160</v>
      </c>
      <c r="S464" s="18"/>
    </row>
    <row r="465" spans="1:19" ht="36" customHeight="1">
      <c r="A465" s="17" t="s">
        <v>1687</v>
      </c>
      <c r="B465" s="17" t="s">
        <v>1678</v>
      </c>
      <c r="C465" s="17" t="s">
        <v>1679</v>
      </c>
      <c r="D465" s="17" t="s">
        <v>1688</v>
      </c>
      <c r="E465" s="18" t="s">
        <v>23</v>
      </c>
      <c r="F465" s="17" t="s">
        <v>132</v>
      </c>
      <c r="G465" s="17" t="s">
        <v>1689</v>
      </c>
      <c r="H465" s="19">
        <f t="shared" si="43"/>
        <v>5</v>
      </c>
      <c r="I465" s="17" t="s">
        <v>1690</v>
      </c>
      <c r="J465" s="19">
        <f t="shared" si="44"/>
        <v>9</v>
      </c>
      <c r="K465" s="18" t="s">
        <v>64</v>
      </c>
      <c r="L465" s="18" t="s">
        <v>28</v>
      </c>
      <c r="M465" s="27">
        <v>-0.31622776601683794</v>
      </c>
      <c r="N465" s="27">
        <v>0.47950012218695343</v>
      </c>
      <c r="O465" s="28" t="str">
        <f t="shared" si="45"/>
        <v>不校正</v>
      </c>
      <c r="P465" s="18" t="s">
        <v>1691</v>
      </c>
      <c r="Q465" s="18" t="s">
        <v>159</v>
      </c>
      <c r="R465" s="18" t="s">
        <v>160</v>
      </c>
      <c r="S465" s="18"/>
    </row>
    <row r="466" spans="1:19" ht="36" customHeight="1">
      <c r="A466" s="17" t="s">
        <v>1692</v>
      </c>
      <c r="B466" s="17" t="s">
        <v>1678</v>
      </c>
      <c r="C466" s="17" t="s">
        <v>1679</v>
      </c>
      <c r="D466" s="17" t="s">
        <v>1688</v>
      </c>
      <c r="E466" s="18" t="s">
        <v>81</v>
      </c>
      <c r="F466" s="17" t="s">
        <v>995</v>
      </c>
      <c r="G466" s="17" t="s">
        <v>1689</v>
      </c>
      <c r="H466" s="19">
        <f t="shared" si="43"/>
        <v>5</v>
      </c>
      <c r="I466" s="17" t="s">
        <v>1693</v>
      </c>
      <c r="J466" s="19">
        <f t="shared" si="44"/>
        <v>4</v>
      </c>
      <c r="K466" s="18" t="s">
        <v>64</v>
      </c>
      <c r="L466" s="18" t="s">
        <v>28</v>
      </c>
      <c r="M466" s="27">
        <v>-0.31622776601683794</v>
      </c>
      <c r="N466" s="27">
        <v>0.47950012218695343</v>
      </c>
      <c r="O466" s="28" t="str">
        <f t="shared" si="45"/>
        <v>不校正</v>
      </c>
      <c r="P466" s="18" t="s">
        <v>1691</v>
      </c>
      <c r="Q466" s="18" t="s">
        <v>159</v>
      </c>
      <c r="R466" s="18" t="s">
        <v>160</v>
      </c>
      <c r="S466" s="18"/>
    </row>
    <row r="467" spans="1:19" ht="36" customHeight="1">
      <c r="A467" s="17" t="s">
        <v>1694</v>
      </c>
      <c r="B467" s="17" t="s">
        <v>1678</v>
      </c>
      <c r="C467" s="17" t="s">
        <v>1679</v>
      </c>
      <c r="D467" s="17" t="s">
        <v>1695</v>
      </c>
      <c r="E467" s="18" t="s">
        <v>23</v>
      </c>
      <c r="F467" s="17" t="s">
        <v>132</v>
      </c>
      <c r="G467" s="17" t="s">
        <v>1696</v>
      </c>
      <c r="H467" s="19">
        <f t="shared" si="43"/>
        <v>6</v>
      </c>
      <c r="I467" s="17" t="s">
        <v>1697</v>
      </c>
      <c r="J467" s="19">
        <f t="shared" si="44"/>
        <v>4</v>
      </c>
      <c r="K467" s="18" t="s">
        <v>1683</v>
      </c>
      <c r="L467" s="18" t="s">
        <v>101</v>
      </c>
      <c r="M467" s="27">
        <v>0</v>
      </c>
      <c r="N467" s="27">
        <v>1</v>
      </c>
      <c r="O467" s="28" t="str">
        <f t="shared" si="45"/>
        <v>不校正</v>
      </c>
      <c r="P467" s="18" t="s">
        <v>1698</v>
      </c>
      <c r="Q467" s="18" t="s">
        <v>159</v>
      </c>
      <c r="R467" s="18" t="s">
        <v>160</v>
      </c>
      <c r="S467" s="18"/>
    </row>
    <row r="468" spans="1:19" ht="36" customHeight="1">
      <c r="A468" s="17" t="s">
        <v>1699</v>
      </c>
      <c r="B468" s="17" t="s">
        <v>1678</v>
      </c>
      <c r="C468" s="17" t="s">
        <v>1679</v>
      </c>
      <c r="D468" s="17" t="s">
        <v>1695</v>
      </c>
      <c r="E468" s="18" t="s">
        <v>81</v>
      </c>
      <c r="F468" s="17" t="s">
        <v>995</v>
      </c>
      <c r="G468" s="17" t="s">
        <v>1696</v>
      </c>
      <c r="H468" s="19">
        <f t="shared" si="43"/>
        <v>6</v>
      </c>
      <c r="I468" s="17" t="s">
        <v>1700</v>
      </c>
      <c r="J468" s="19">
        <f t="shared" si="44"/>
        <v>4</v>
      </c>
      <c r="K468" s="18" t="s">
        <v>1683</v>
      </c>
      <c r="L468" s="18" t="s">
        <v>101</v>
      </c>
      <c r="M468" s="27">
        <v>0</v>
      </c>
      <c r="N468" s="27">
        <v>1</v>
      </c>
      <c r="O468" s="28" t="str">
        <f t="shared" si="45"/>
        <v>不校正</v>
      </c>
      <c r="P468" s="18" t="s">
        <v>1698</v>
      </c>
      <c r="Q468" s="18" t="s">
        <v>159</v>
      </c>
      <c r="R468" s="18" t="s">
        <v>160</v>
      </c>
      <c r="S468" s="18"/>
    </row>
    <row r="469" spans="1:19" ht="36" customHeight="1">
      <c r="A469" s="2" t="s">
        <v>1701</v>
      </c>
      <c r="B469" s="2" t="s">
        <v>1702</v>
      </c>
      <c r="C469" s="2" t="s">
        <v>1703</v>
      </c>
      <c r="D469" s="2" t="s">
        <v>1704</v>
      </c>
      <c r="E469" s="3" t="s">
        <v>23</v>
      </c>
      <c r="F469" s="2" t="s">
        <v>1705</v>
      </c>
      <c r="G469" s="2" t="s">
        <v>1706</v>
      </c>
      <c r="H469" s="4">
        <f t="shared" si="43"/>
        <v>4</v>
      </c>
      <c r="I469" s="2" t="s">
        <v>1707</v>
      </c>
      <c r="J469" s="4">
        <f t="shared" si="44"/>
        <v>16</v>
      </c>
      <c r="K469" s="3" t="s">
        <v>1708</v>
      </c>
      <c r="L469" s="3" t="s">
        <v>101</v>
      </c>
      <c r="M469" s="5">
        <v>0.54772255750516607</v>
      </c>
      <c r="N469" s="5">
        <v>0.27859867183796266</v>
      </c>
      <c r="O469" s="6" t="str">
        <f t="shared" si="45"/>
        <v>不校正</v>
      </c>
      <c r="P469" s="3" t="s">
        <v>1709</v>
      </c>
      <c r="Q469" s="3" t="s">
        <v>159</v>
      </c>
      <c r="R469" s="3" t="s">
        <v>160</v>
      </c>
      <c r="S469" s="3"/>
    </row>
    <row r="470" spans="1:19" ht="36" customHeight="1">
      <c r="A470" s="7" t="s">
        <v>1710</v>
      </c>
      <c r="B470" s="7" t="s">
        <v>1702</v>
      </c>
      <c r="C470" s="7" t="s">
        <v>1703</v>
      </c>
      <c r="D470" s="7" t="s">
        <v>1704</v>
      </c>
      <c r="E470" s="8" t="s">
        <v>81</v>
      </c>
      <c r="F470" s="7" t="s">
        <v>995</v>
      </c>
      <c r="G470" s="7" t="s">
        <v>1706</v>
      </c>
      <c r="H470" s="9">
        <f t="shared" si="43"/>
        <v>4</v>
      </c>
      <c r="I470" s="7" t="s">
        <v>1711</v>
      </c>
      <c r="J470" s="9">
        <f t="shared" si="44"/>
        <v>6</v>
      </c>
      <c r="K470" s="8" t="s">
        <v>1708</v>
      </c>
      <c r="L470" s="8" t="s">
        <v>101</v>
      </c>
      <c r="M470" s="10">
        <v>0.54772255750516607</v>
      </c>
      <c r="N470" s="10">
        <v>0.27859867183796266</v>
      </c>
      <c r="O470" s="11" t="str">
        <f t="shared" si="45"/>
        <v>不校正</v>
      </c>
      <c r="P470" s="8" t="s">
        <v>1709</v>
      </c>
      <c r="Q470" s="8" t="s">
        <v>159</v>
      </c>
      <c r="R470" s="8" t="s">
        <v>160</v>
      </c>
      <c r="S470" s="8"/>
    </row>
    <row r="471" spans="1:19" ht="36" customHeight="1">
      <c r="A471" s="7" t="s">
        <v>1712</v>
      </c>
      <c r="B471" s="7" t="s">
        <v>1702</v>
      </c>
      <c r="C471" s="7" t="s">
        <v>1703</v>
      </c>
      <c r="D471" s="7" t="s">
        <v>1713</v>
      </c>
      <c r="E471" s="8" t="s">
        <v>23</v>
      </c>
      <c r="F471" s="7" t="s">
        <v>1705</v>
      </c>
      <c r="G471" s="7" t="s">
        <v>1714</v>
      </c>
      <c r="H471" s="9">
        <f t="shared" si="43"/>
        <v>6</v>
      </c>
      <c r="I471" s="7" t="s">
        <v>1715</v>
      </c>
      <c r="J471" s="9">
        <f t="shared" si="44"/>
        <v>14</v>
      </c>
      <c r="K471" s="8" t="s">
        <v>1708</v>
      </c>
      <c r="L471" s="8" t="s">
        <v>101</v>
      </c>
      <c r="M471" s="10">
        <v>0.64450338663548956</v>
      </c>
      <c r="N471" s="10">
        <v>7.9458189743169289E-2</v>
      </c>
      <c r="O471" s="11" t="str">
        <f t="shared" si="45"/>
        <v>不校正</v>
      </c>
      <c r="P471" s="8" t="s">
        <v>1716</v>
      </c>
      <c r="Q471" s="8" t="s">
        <v>159</v>
      </c>
      <c r="R471" s="8" t="s">
        <v>160</v>
      </c>
      <c r="S471" s="8"/>
    </row>
    <row r="472" spans="1:19" ht="36" customHeight="1">
      <c r="A472" s="7" t="s">
        <v>1717</v>
      </c>
      <c r="B472" s="7" t="s">
        <v>1702</v>
      </c>
      <c r="C472" s="7" t="s">
        <v>1703</v>
      </c>
      <c r="D472" s="7" t="s">
        <v>1713</v>
      </c>
      <c r="E472" s="8" t="s">
        <v>81</v>
      </c>
      <c r="F472" s="7" t="s">
        <v>995</v>
      </c>
      <c r="G472" s="7" t="s">
        <v>1714</v>
      </c>
      <c r="H472" s="9">
        <f t="shared" si="43"/>
        <v>6</v>
      </c>
      <c r="I472" s="7" t="s">
        <v>1718</v>
      </c>
      <c r="J472" s="9">
        <f t="shared" si="44"/>
        <v>6</v>
      </c>
      <c r="K472" s="8" t="s">
        <v>1708</v>
      </c>
      <c r="L472" s="8" t="s">
        <v>101</v>
      </c>
      <c r="M472" s="10">
        <v>0.64450338663548956</v>
      </c>
      <c r="N472" s="10">
        <v>7.9458189743169289E-2</v>
      </c>
      <c r="O472" s="11" t="str">
        <f t="shared" si="45"/>
        <v>不校正</v>
      </c>
      <c r="P472" s="8" t="s">
        <v>1716</v>
      </c>
      <c r="Q472" s="8" t="s">
        <v>159</v>
      </c>
      <c r="R472" s="8" t="s">
        <v>160</v>
      </c>
      <c r="S472" s="8"/>
    </row>
    <row r="473" spans="1:19" ht="27" customHeight="1">
      <c r="A473" s="7" t="s">
        <v>1719</v>
      </c>
      <c r="B473" s="7" t="s">
        <v>1702</v>
      </c>
      <c r="C473" s="7" t="s">
        <v>1703</v>
      </c>
      <c r="D473" s="7" t="s">
        <v>1720</v>
      </c>
      <c r="E473" s="8" t="s">
        <v>23</v>
      </c>
      <c r="F473" s="7" t="s">
        <v>1705</v>
      </c>
      <c r="G473" s="7" t="s">
        <v>1721</v>
      </c>
      <c r="H473" s="9">
        <f t="shared" si="43"/>
        <v>8</v>
      </c>
      <c r="I473" s="7" t="s">
        <v>1722</v>
      </c>
      <c r="J473" s="9">
        <f t="shared" si="44"/>
        <v>12</v>
      </c>
      <c r="K473" s="8" t="s">
        <v>1708</v>
      </c>
      <c r="L473" s="8" t="s">
        <v>101</v>
      </c>
      <c r="M473" s="10">
        <v>0.47280542884465016</v>
      </c>
      <c r="N473" s="10">
        <v>0.10506382347888968</v>
      </c>
      <c r="O473" s="11" t="str">
        <f t="shared" si="45"/>
        <v>不校正</v>
      </c>
      <c r="P473" s="8" t="s">
        <v>1723</v>
      </c>
      <c r="Q473" s="8" t="s">
        <v>159</v>
      </c>
      <c r="R473" s="8" t="s">
        <v>160</v>
      </c>
      <c r="S473" s="8"/>
    </row>
    <row r="474" spans="1:19" ht="27" customHeight="1">
      <c r="A474" s="7" t="s">
        <v>1724</v>
      </c>
      <c r="B474" s="7" t="s">
        <v>1702</v>
      </c>
      <c r="C474" s="7" t="s">
        <v>1703</v>
      </c>
      <c r="D474" s="7" t="s">
        <v>1720</v>
      </c>
      <c r="E474" s="8" t="s">
        <v>81</v>
      </c>
      <c r="F474" s="7" t="s">
        <v>995</v>
      </c>
      <c r="G474" s="7" t="s">
        <v>1721</v>
      </c>
      <c r="H474" s="9">
        <f t="shared" si="43"/>
        <v>8</v>
      </c>
      <c r="I474" s="7" t="s">
        <v>1725</v>
      </c>
      <c r="J474" s="9">
        <f t="shared" si="44"/>
        <v>6</v>
      </c>
      <c r="K474" s="8" t="s">
        <v>1708</v>
      </c>
      <c r="L474" s="8" t="s">
        <v>101</v>
      </c>
      <c r="M474" s="10">
        <v>0.47280542884465016</v>
      </c>
      <c r="N474" s="10">
        <v>0.10506382347888968</v>
      </c>
      <c r="O474" s="11" t="str">
        <f t="shared" si="45"/>
        <v>不校正</v>
      </c>
      <c r="P474" s="8" t="s">
        <v>1723</v>
      </c>
      <c r="Q474" s="8" t="s">
        <v>159</v>
      </c>
      <c r="R474" s="8" t="s">
        <v>160</v>
      </c>
      <c r="S474" s="8"/>
    </row>
    <row r="475" spans="1:19" ht="36" customHeight="1">
      <c r="A475" s="7" t="s">
        <v>1726</v>
      </c>
      <c r="B475" s="7" t="s">
        <v>1702</v>
      </c>
      <c r="C475" s="7" t="s">
        <v>1703</v>
      </c>
      <c r="D475" s="7" t="s">
        <v>1727</v>
      </c>
      <c r="E475" s="8" t="s">
        <v>23</v>
      </c>
      <c r="F475" s="32" t="s">
        <v>1728</v>
      </c>
      <c r="G475" s="22"/>
      <c r="H475" s="23"/>
      <c r="I475" s="22"/>
      <c r="J475" s="23"/>
      <c r="K475" s="8" t="s">
        <v>1708</v>
      </c>
      <c r="L475" s="8" t="s">
        <v>28</v>
      </c>
      <c r="M475" s="20"/>
      <c r="N475" s="20"/>
      <c r="O475" s="21"/>
      <c r="P475" s="8" t="s">
        <v>1729</v>
      </c>
      <c r="Q475" s="8" t="s">
        <v>159</v>
      </c>
      <c r="R475" s="24" t="s">
        <v>94</v>
      </c>
      <c r="S475" s="8" t="s">
        <v>1730</v>
      </c>
    </row>
    <row r="476" spans="1:19" ht="36" customHeight="1">
      <c r="A476" s="7" t="s">
        <v>1731</v>
      </c>
      <c r="B476" s="7" t="s">
        <v>1702</v>
      </c>
      <c r="C476" s="7" t="s">
        <v>1703</v>
      </c>
      <c r="D476" s="7" t="s">
        <v>1727</v>
      </c>
      <c r="E476" s="8" t="s">
        <v>81</v>
      </c>
      <c r="F476" s="7" t="s">
        <v>995</v>
      </c>
      <c r="G476" s="7" t="s">
        <v>196</v>
      </c>
      <c r="H476" s="9">
        <f>IF(LEN(G476)=0,"",IF(ISNUMBER(SEARCH(",",G476)),LEN(SUBSTITUTE(G476,",","xx"))-LEN(G476)+1,1))</f>
        <v>1</v>
      </c>
      <c r="I476" s="7" t="s">
        <v>1732</v>
      </c>
      <c r="J476" s="9">
        <f>IF(LEN(I476)=0,"",IF(ISNUMBER(SEARCH(",",I476)),LEN(SUBSTITUTE(I476,",","xx"))-LEN(I476)+1,1))</f>
        <v>6</v>
      </c>
      <c r="K476" s="8" t="s">
        <v>1708</v>
      </c>
      <c r="L476" s="8" t="s">
        <v>28</v>
      </c>
      <c r="M476" s="20"/>
      <c r="N476" s="20"/>
      <c r="O476" s="21" t="s">
        <v>167</v>
      </c>
      <c r="P476" s="8" t="s">
        <v>1729</v>
      </c>
      <c r="Q476" s="8" t="s">
        <v>159</v>
      </c>
      <c r="R476" s="8" t="s">
        <v>160</v>
      </c>
      <c r="S476" s="8" t="s">
        <v>169</v>
      </c>
    </row>
    <row r="477" spans="1:19" ht="36" customHeight="1">
      <c r="A477" s="7" t="s">
        <v>1733</v>
      </c>
      <c r="B477" s="7" t="s">
        <v>1702</v>
      </c>
      <c r="C477" s="7" t="s">
        <v>1703</v>
      </c>
      <c r="D477" s="7" t="s">
        <v>1734</v>
      </c>
      <c r="E477" s="8" t="s">
        <v>23</v>
      </c>
      <c r="F477" s="32" t="s">
        <v>1728</v>
      </c>
      <c r="G477" s="22"/>
      <c r="H477" s="23"/>
      <c r="I477" s="22"/>
      <c r="J477" s="23"/>
      <c r="K477" s="8" t="s">
        <v>1708</v>
      </c>
      <c r="L477" s="8" t="s">
        <v>28</v>
      </c>
      <c r="M477" s="20"/>
      <c r="N477" s="20"/>
      <c r="O477" s="21"/>
      <c r="P477" s="8" t="s">
        <v>1735</v>
      </c>
      <c r="Q477" s="8" t="s">
        <v>159</v>
      </c>
      <c r="R477" s="24" t="s">
        <v>94</v>
      </c>
      <c r="S477" s="8" t="s">
        <v>1736</v>
      </c>
    </row>
    <row r="478" spans="1:19" ht="36" customHeight="1">
      <c r="A478" s="7" t="s">
        <v>1737</v>
      </c>
      <c r="B478" s="7" t="s">
        <v>1702</v>
      </c>
      <c r="C478" s="7" t="s">
        <v>1703</v>
      </c>
      <c r="D478" s="7" t="s">
        <v>1734</v>
      </c>
      <c r="E478" s="8" t="s">
        <v>81</v>
      </c>
      <c r="F478" s="7" t="s">
        <v>995</v>
      </c>
      <c r="G478" s="7" t="s">
        <v>774</v>
      </c>
      <c r="H478" s="9">
        <f>IF(LEN(G478)=0,"",IF(ISNUMBER(SEARCH(",",G478)),LEN(SUBSTITUTE(G478,",","xx"))-LEN(G478)+1,1))</f>
        <v>2</v>
      </c>
      <c r="I478" s="7" t="s">
        <v>1738</v>
      </c>
      <c r="J478" s="9">
        <f>IF(LEN(I478)=0,"",IF(ISNUMBER(SEARCH(",",I478)),LEN(SUBSTITUTE(I478,",","xx"))-LEN(I478)+1,1))</f>
        <v>6</v>
      </c>
      <c r="K478" s="8" t="s">
        <v>1708</v>
      </c>
      <c r="L478" s="8" t="s">
        <v>28</v>
      </c>
      <c r="M478" s="20"/>
      <c r="N478" s="20"/>
      <c r="O478" s="21" t="s">
        <v>190</v>
      </c>
      <c r="P478" s="8" t="s">
        <v>1735</v>
      </c>
      <c r="Q478" s="8" t="s">
        <v>159</v>
      </c>
      <c r="R478" s="8" t="s">
        <v>160</v>
      </c>
      <c r="S478" s="8" t="s">
        <v>192</v>
      </c>
    </row>
    <row r="479" spans="1:19" ht="36" customHeight="1">
      <c r="A479" s="7" t="s">
        <v>1739</v>
      </c>
      <c r="B479" s="7" t="s">
        <v>1702</v>
      </c>
      <c r="C479" s="7" t="s">
        <v>1703</v>
      </c>
      <c r="D479" s="7" t="s">
        <v>1740</v>
      </c>
      <c r="E479" s="8" t="s">
        <v>23</v>
      </c>
      <c r="F479" s="32" t="s">
        <v>1728</v>
      </c>
      <c r="G479" s="22"/>
      <c r="H479" s="23"/>
      <c r="I479" s="22"/>
      <c r="J479" s="23"/>
      <c r="K479" s="8" t="s">
        <v>1708</v>
      </c>
      <c r="L479" s="8" t="s">
        <v>28</v>
      </c>
      <c r="M479" s="20"/>
      <c r="N479" s="20"/>
      <c r="O479" s="21"/>
      <c r="P479" s="8" t="s">
        <v>1741</v>
      </c>
      <c r="Q479" s="8" t="s">
        <v>159</v>
      </c>
      <c r="R479" s="24" t="s">
        <v>94</v>
      </c>
      <c r="S479" s="8" t="s">
        <v>1736</v>
      </c>
    </row>
    <row r="480" spans="1:19" ht="27" customHeight="1">
      <c r="A480" s="7" t="s">
        <v>1742</v>
      </c>
      <c r="B480" s="7" t="s">
        <v>1702</v>
      </c>
      <c r="C480" s="7" t="s">
        <v>1703</v>
      </c>
      <c r="D480" s="7" t="s">
        <v>1740</v>
      </c>
      <c r="E480" s="8" t="s">
        <v>81</v>
      </c>
      <c r="F480" s="7" t="s">
        <v>995</v>
      </c>
      <c r="G480" s="7" t="s">
        <v>774</v>
      </c>
      <c r="H480" s="9">
        <f>IF(LEN(G480)=0,"",IF(ISNUMBER(SEARCH(",",G480)),LEN(SUBSTITUTE(G480,",","xx"))-LEN(G480)+1,1))</f>
        <v>2</v>
      </c>
      <c r="I480" s="7" t="s">
        <v>1743</v>
      </c>
      <c r="J480" s="9">
        <f>IF(LEN(I480)=0,"",IF(ISNUMBER(SEARCH(",",I480)),LEN(SUBSTITUTE(I480,",","xx"))-LEN(I480)+1,1))</f>
        <v>6</v>
      </c>
      <c r="K480" s="8" t="s">
        <v>1708</v>
      </c>
      <c r="L480" s="8" t="s">
        <v>28</v>
      </c>
      <c r="M480" s="20"/>
      <c r="N480" s="20"/>
      <c r="O480" s="21" t="s">
        <v>190</v>
      </c>
      <c r="P480" s="8" t="s">
        <v>1741</v>
      </c>
      <c r="Q480" s="8" t="s">
        <v>159</v>
      </c>
      <c r="R480" s="8" t="s">
        <v>160</v>
      </c>
      <c r="S480" s="8" t="s">
        <v>192</v>
      </c>
    </row>
    <row r="481" spans="1:19" ht="36" customHeight="1">
      <c r="A481" s="7" t="s">
        <v>1744</v>
      </c>
      <c r="B481" s="7" t="s">
        <v>1702</v>
      </c>
      <c r="C481" s="7" t="s">
        <v>1703</v>
      </c>
      <c r="D481" s="7" t="s">
        <v>1745</v>
      </c>
      <c r="E481" s="8" t="s">
        <v>23</v>
      </c>
      <c r="F481" s="32" t="s">
        <v>1728</v>
      </c>
      <c r="G481" s="22"/>
      <c r="H481" s="23"/>
      <c r="I481" s="22"/>
      <c r="J481" s="23"/>
      <c r="K481" s="8" t="s">
        <v>1708</v>
      </c>
      <c r="L481" s="8" t="s">
        <v>28</v>
      </c>
      <c r="M481" s="20"/>
      <c r="N481" s="20"/>
      <c r="O481" s="21"/>
      <c r="P481" s="8" t="s">
        <v>1746</v>
      </c>
      <c r="Q481" s="8" t="s">
        <v>159</v>
      </c>
      <c r="R481" s="24" t="s">
        <v>94</v>
      </c>
      <c r="S481" s="8" t="s">
        <v>1736</v>
      </c>
    </row>
    <row r="482" spans="1:19" ht="36" customHeight="1">
      <c r="A482" s="7" t="s">
        <v>1747</v>
      </c>
      <c r="B482" s="7" t="s">
        <v>1702</v>
      </c>
      <c r="C482" s="7" t="s">
        <v>1703</v>
      </c>
      <c r="D482" s="7" t="s">
        <v>1745</v>
      </c>
      <c r="E482" s="8" t="s">
        <v>81</v>
      </c>
      <c r="F482" s="7" t="s">
        <v>995</v>
      </c>
      <c r="G482" s="7" t="s">
        <v>200</v>
      </c>
      <c r="H482" s="9">
        <f>IF(LEN(G482)=0,"",IF(ISNUMBER(SEARCH(",",G482)),LEN(SUBSTITUTE(G482,",","xx"))-LEN(G482)+1,1))</f>
        <v>1</v>
      </c>
      <c r="I482" s="7" t="s">
        <v>1748</v>
      </c>
      <c r="J482" s="9">
        <f>IF(LEN(I482)=0,"",IF(ISNUMBER(SEARCH(",",I482)),LEN(SUBSTITUTE(I482,",","xx"))-LEN(I482)+1,1))</f>
        <v>1</v>
      </c>
      <c r="K482" s="8" t="s">
        <v>1708</v>
      </c>
      <c r="L482" s="8" t="s">
        <v>28</v>
      </c>
      <c r="M482" s="20"/>
      <c r="N482" s="20"/>
      <c r="O482" s="21" t="s">
        <v>167</v>
      </c>
      <c r="P482" s="8" t="s">
        <v>1746</v>
      </c>
      <c r="Q482" s="8" t="s">
        <v>159</v>
      </c>
      <c r="R482" s="8" t="s">
        <v>160</v>
      </c>
      <c r="S482" s="8" t="s">
        <v>169</v>
      </c>
    </row>
    <row r="483" spans="1:19" ht="36" customHeight="1">
      <c r="A483" s="7" t="s">
        <v>1749</v>
      </c>
      <c r="B483" s="7" t="s">
        <v>1702</v>
      </c>
      <c r="C483" s="7" t="s">
        <v>1703</v>
      </c>
      <c r="D483" s="7" t="s">
        <v>1750</v>
      </c>
      <c r="E483" s="8" t="s">
        <v>23</v>
      </c>
      <c r="F483" s="32" t="s">
        <v>1728</v>
      </c>
      <c r="G483" s="22"/>
      <c r="H483" s="23"/>
      <c r="I483" s="22"/>
      <c r="J483" s="23"/>
      <c r="K483" s="8" t="s">
        <v>1708</v>
      </c>
      <c r="L483" s="8" t="s">
        <v>28</v>
      </c>
      <c r="M483" s="20"/>
      <c r="N483" s="20"/>
      <c r="O483" s="21"/>
      <c r="P483" s="8" t="s">
        <v>1751</v>
      </c>
      <c r="Q483" s="8" t="s">
        <v>159</v>
      </c>
      <c r="R483" s="24" t="s">
        <v>94</v>
      </c>
      <c r="S483" s="8" t="s">
        <v>1752</v>
      </c>
    </row>
    <row r="484" spans="1:19" ht="36" customHeight="1">
      <c r="A484" s="7" t="s">
        <v>1753</v>
      </c>
      <c r="B484" s="7" t="s">
        <v>1702</v>
      </c>
      <c r="C484" s="7" t="s">
        <v>1703</v>
      </c>
      <c r="D484" s="7" t="s">
        <v>1750</v>
      </c>
      <c r="E484" s="8" t="s">
        <v>81</v>
      </c>
      <c r="F484" s="7" t="s">
        <v>995</v>
      </c>
      <c r="G484" s="22"/>
      <c r="H484" s="23"/>
      <c r="I484" s="22"/>
      <c r="J484" s="23"/>
      <c r="K484" s="8" t="s">
        <v>1708</v>
      </c>
      <c r="L484" s="8" t="s">
        <v>28</v>
      </c>
      <c r="M484" s="20"/>
      <c r="N484" s="20"/>
      <c r="O484" s="21"/>
      <c r="P484" s="8" t="s">
        <v>1751</v>
      </c>
      <c r="Q484" s="8" t="s">
        <v>159</v>
      </c>
      <c r="R484" s="24" t="s">
        <v>94</v>
      </c>
      <c r="S484" s="8" t="s">
        <v>1754</v>
      </c>
    </row>
    <row r="485" spans="1:19" ht="27" customHeight="1">
      <c r="A485" s="7" t="s">
        <v>1755</v>
      </c>
      <c r="B485" s="7" t="s">
        <v>1702</v>
      </c>
      <c r="C485" s="7" t="s">
        <v>1703</v>
      </c>
      <c r="D485" s="7" t="s">
        <v>1756</v>
      </c>
      <c r="E485" s="8" t="s">
        <v>23</v>
      </c>
      <c r="F485" s="32" t="s">
        <v>1728</v>
      </c>
      <c r="G485" s="22"/>
      <c r="H485" s="23"/>
      <c r="I485" s="22"/>
      <c r="J485" s="23"/>
      <c r="K485" s="8" t="s">
        <v>1708</v>
      </c>
      <c r="L485" s="8" t="s">
        <v>28</v>
      </c>
      <c r="M485" s="20"/>
      <c r="N485" s="20"/>
      <c r="O485" s="21"/>
      <c r="P485" s="8" t="s">
        <v>1757</v>
      </c>
      <c r="Q485" s="8" t="s">
        <v>159</v>
      </c>
      <c r="R485" s="24" t="s">
        <v>94</v>
      </c>
      <c r="S485" s="8" t="s">
        <v>1758</v>
      </c>
    </row>
    <row r="486" spans="1:19" ht="27" customHeight="1">
      <c r="A486" s="7" t="s">
        <v>1759</v>
      </c>
      <c r="B486" s="7" t="s">
        <v>1702</v>
      </c>
      <c r="C486" s="7" t="s">
        <v>1703</v>
      </c>
      <c r="D486" s="7" t="s">
        <v>1756</v>
      </c>
      <c r="E486" s="8" t="s">
        <v>81</v>
      </c>
      <c r="F486" s="7" t="s">
        <v>995</v>
      </c>
      <c r="G486" s="22"/>
      <c r="H486" s="23"/>
      <c r="I486" s="22"/>
      <c r="J486" s="23"/>
      <c r="K486" s="8" t="s">
        <v>1708</v>
      </c>
      <c r="L486" s="8" t="s">
        <v>28</v>
      </c>
      <c r="M486" s="20"/>
      <c r="N486" s="20"/>
      <c r="O486" s="21"/>
      <c r="P486" s="8" t="s">
        <v>1757</v>
      </c>
      <c r="Q486" s="8" t="s">
        <v>159</v>
      </c>
      <c r="R486" s="24" t="s">
        <v>94</v>
      </c>
      <c r="S486" s="8" t="s">
        <v>1760</v>
      </c>
    </row>
    <row r="487" spans="1:19" ht="36" customHeight="1">
      <c r="A487" s="12" t="s">
        <v>1761</v>
      </c>
      <c r="B487" s="12" t="s">
        <v>1762</v>
      </c>
      <c r="C487" s="12" t="s">
        <v>1763</v>
      </c>
      <c r="D487" s="12" t="s">
        <v>1764</v>
      </c>
      <c r="E487" s="13" t="s">
        <v>23</v>
      </c>
      <c r="F487" s="12" t="s">
        <v>1765</v>
      </c>
      <c r="G487" s="12" t="s">
        <v>1766</v>
      </c>
      <c r="H487" s="14">
        <f t="shared" ref="H487:H512" si="46">IF(LEN(G487)=0,"",IF(ISNUMBER(SEARCH(",",G487)),LEN(SUBSTITUTE(G487,",","xx"))-LEN(G487)+1,1))</f>
        <v>5</v>
      </c>
      <c r="I487" s="12" t="s">
        <v>1767</v>
      </c>
      <c r="J487" s="14">
        <f t="shared" ref="J487:J512" si="47">IF(LEN(I487)=0,"",IF(ISNUMBER(SEARCH(",",I487)),LEN(SUBSTITUTE(I487,",","xx"))-LEN(I487)+1,1))</f>
        <v>9</v>
      </c>
      <c r="K487" s="13" t="s">
        <v>64</v>
      </c>
      <c r="L487" s="13" t="s">
        <v>28</v>
      </c>
      <c r="M487" s="25">
        <v>0</v>
      </c>
      <c r="N487" s="25">
        <v>1</v>
      </c>
      <c r="O487" s="26" t="str">
        <f t="shared" ref="O487:O510" si="48">IF(AND(N487&lt;0.05,OR(AND(L487="升高改善",M487&gt;0),AND(L487="降低改善",M487&lt;0))),"校正","不校正")</f>
        <v>不校正</v>
      </c>
      <c r="P487" s="13" t="s">
        <v>1768</v>
      </c>
      <c r="Q487" s="13" t="s">
        <v>159</v>
      </c>
      <c r="R487" s="13" t="s">
        <v>160</v>
      </c>
      <c r="S487" s="13"/>
    </row>
    <row r="488" spans="1:19" ht="36" customHeight="1">
      <c r="A488" s="17" t="s">
        <v>1769</v>
      </c>
      <c r="B488" s="17" t="s">
        <v>1762</v>
      </c>
      <c r="C488" s="17" t="s">
        <v>1763</v>
      </c>
      <c r="D488" s="17" t="s">
        <v>1764</v>
      </c>
      <c r="E488" s="18" t="s">
        <v>23</v>
      </c>
      <c r="F488" s="17" t="s">
        <v>1770</v>
      </c>
      <c r="G488" s="17" t="s">
        <v>1771</v>
      </c>
      <c r="H488" s="19">
        <f t="shared" si="46"/>
        <v>3</v>
      </c>
      <c r="I488" s="17" t="s">
        <v>1772</v>
      </c>
      <c r="J488" s="19">
        <f t="shared" si="47"/>
        <v>4</v>
      </c>
      <c r="K488" s="18" t="s">
        <v>64</v>
      </c>
      <c r="L488" s="18" t="s">
        <v>28</v>
      </c>
      <c r="M488" s="27">
        <v>-0.81649658092772615</v>
      </c>
      <c r="N488" s="27">
        <v>0.22067136191984676</v>
      </c>
      <c r="O488" s="28" t="str">
        <f t="shared" si="48"/>
        <v>不校正</v>
      </c>
      <c r="P488" s="18" t="s">
        <v>1768</v>
      </c>
      <c r="Q488" s="18" t="s">
        <v>159</v>
      </c>
      <c r="R488" s="18" t="s">
        <v>160</v>
      </c>
      <c r="S488" s="18"/>
    </row>
    <row r="489" spans="1:19" ht="36" customHeight="1">
      <c r="A489" s="17" t="s">
        <v>1773</v>
      </c>
      <c r="B489" s="17" t="s">
        <v>1762</v>
      </c>
      <c r="C489" s="17" t="s">
        <v>1763</v>
      </c>
      <c r="D489" s="17" t="s">
        <v>1764</v>
      </c>
      <c r="E489" s="18" t="s">
        <v>81</v>
      </c>
      <c r="F489" s="17" t="s">
        <v>82</v>
      </c>
      <c r="G489" s="17" t="s">
        <v>1766</v>
      </c>
      <c r="H489" s="19">
        <f t="shared" si="46"/>
        <v>5</v>
      </c>
      <c r="I489" s="17" t="s">
        <v>860</v>
      </c>
      <c r="J489" s="19">
        <f t="shared" si="47"/>
        <v>1</v>
      </c>
      <c r="K489" s="18" t="s">
        <v>64</v>
      </c>
      <c r="L489" s="18" t="s">
        <v>28</v>
      </c>
      <c r="M489" s="27">
        <v>0</v>
      </c>
      <c r="N489" s="27">
        <v>1</v>
      </c>
      <c r="O489" s="28" t="str">
        <f t="shared" si="48"/>
        <v>不校正</v>
      </c>
      <c r="P489" s="18" t="s">
        <v>1768</v>
      </c>
      <c r="Q489" s="18" t="s">
        <v>159</v>
      </c>
      <c r="R489" s="18" t="s">
        <v>160</v>
      </c>
      <c r="S489" s="18"/>
    </row>
    <row r="490" spans="1:19" ht="36" customHeight="1">
      <c r="A490" s="17" t="s">
        <v>1774</v>
      </c>
      <c r="B490" s="17" t="s">
        <v>1762</v>
      </c>
      <c r="C490" s="17" t="s">
        <v>1775</v>
      </c>
      <c r="D490" s="17" t="s">
        <v>1764</v>
      </c>
      <c r="E490" s="18" t="s">
        <v>23</v>
      </c>
      <c r="F490" s="17" t="s">
        <v>1765</v>
      </c>
      <c r="G490" s="17" t="s">
        <v>1776</v>
      </c>
      <c r="H490" s="19">
        <f t="shared" si="46"/>
        <v>5</v>
      </c>
      <c r="I490" s="17" t="s">
        <v>1777</v>
      </c>
      <c r="J490" s="19">
        <f t="shared" si="47"/>
        <v>12</v>
      </c>
      <c r="K490" s="18" t="s">
        <v>64</v>
      </c>
      <c r="L490" s="18" t="s">
        <v>28</v>
      </c>
      <c r="M490" s="27">
        <v>-0.31622776601683794</v>
      </c>
      <c r="N490" s="27">
        <v>0.47950012218695343</v>
      </c>
      <c r="O490" s="28" t="str">
        <f t="shared" si="48"/>
        <v>不校正</v>
      </c>
      <c r="P490" s="18" t="s">
        <v>1778</v>
      </c>
      <c r="Q490" s="18" t="s">
        <v>159</v>
      </c>
      <c r="R490" s="18" t="s">
        <v>160</v>
      </c>
      <c r="S490" s="18"/>
    </row>
    <row r="491" spans="1:19" ht="36" customHeight="1">
      <c r="A491" s="17" t="s">
        <v>1779</v>
      </c>
      <c r="B491" s="17" t="s">
        <v>1762</v>
      </c>
      <c r="C491" s="17" t="s">
        <v>1775</v>
      </c>
      <c r="D491" s="17" t="s">
        <v>1764</v>
      </c>
      <c r="E491" s="18" t="s">
        <v>23</v>
      </c>
      <c r="F491" s="17" t="s">
        <v>1770</v>
      </c>
      <c r="G491" s="17" t="s">
        <v>1780</v>
      </c>
      <c r="H491" s="19">
        <f t="shared" si="46"/>
        <v>3</v>
      </c>
      <c r="I491" s="17" t="s">
        <v>1781</v>
      </c>
      <c r="J491" s="19">
        <f t="shared" si="47"/>
        <v>9</v>
      </c>
      <c r="K491" s="18" t="s">
        <v>64</v>
      </c>
      <c r="L491" s="18" t="s">
        <v>28</v>
      </c>
      <c r="M491" s="27">
        <v>-1</v>
      </c>
      <c r="N491" s="27">
        <v>0.11718508719813807</v>
      </c>
      <c r="O491" s="28" t="str">
        <f t="shared" si="48"/>
        <v>不校正</v>
      </c>
      <c r="P491" s="18" t="s">
        <v>1778</v>
      </c>
      <c r="Q491" s="18" t="s">
        <v>159</v>
      </c>
      <c r="R491" s="18" t="s">
        <v>160</v>
      </c>
      <c r="S491" s="18"/>
    </row>
    <row r="492" spans="1:19" ht="36" customHeight="1">
      <c r="A492" s="17" t="s">
        <v>1782</v>
      </c>
      <c r="B492" s="17" t="s">
        <v>1762</v>
      </c>
      <c r="C492" s="17" t="s">
        <v>1775</v>
      </c>
      <c r="D492" s="17" t="s">
        <v>1764</v>
      </c>
      <c r="E492" s="18" t="s">
        <v>81</v>
      </c>
      <c r="F492" s="17" t="s">
        <v>82</v>
      </c>
      <c r="G492" s="17" t="s">
        <v>1776</v>
      </c>
      <c r="H492" s="19">
        <f t="shared" si="46"/>
        <v>5</v>
      </c>
      <c r="I492" s="17" t="s">
        <v>860</v>
      </c>
      <c r="J492" s="19">
        <f t="shared" si="47"/>
        <v>1</v>
      </c>
      <c r="K492" s="18" t="s">
        <v>64</v>
      </c>
      <c r="L492" s="18" t="s">
        <v>28</v>
      </c>
      <c r="M492" s="27">
        <v>-0.31622776601683794</v>
      </c>
      <c r="N492" s="27">
        <v>0.47950012218695343</v>
      </c>
      <c r="O492" s="28" t="str">
        <f t="shared" si="48"/>
        <v>不校正</v>
      </c>
      <c r="P492" s="18" t="s">
        <v>1778</v>
      </c>
      <c r="Q492" s="18" t="s">
        <v>159</v>
      </c>
      <c r="R492" s="18" t="s">
        <v>160</v>
      </c>
      <c r="S492" s="18"/>
    </row>
    <row r="493" spans="1:19" ht="36" customHeight="1">
      <c r="A493" s="17" t="s">
        <v>1783</v>
      </c>
      <c r="B493" s="17" t="s">
        <v>1762</v>
      </c>
      <c r="C493" s="17" t="s">
        <v>1784</v>
      </c>
      <c r="D493" s="17" t="s">
        <v>1764</v>
      </c>
      <c r="E493" s="18" t="s">
        <v>23</v>
      </c>
      <c r="F493" s="17" t="s">
        <v>1765</v>
      </c>
      <c r="G493" s="17" t="s">
        <v>1785</v>
      </c>
      <c r="H493" s="19">
        <f t="shared" si="46"/>
        <v>5</v>
      </c>
      <c r="I493" s="17" t="s">
        <v>1786</v>
      </c>
      <c r="J493" s="19">
        <f t="shared" si="47"/>
        <v>10</v>
      </c>
      <c r="K493" s="18" t="s">
        <v>64</v>
      </c>
      <c r="L493" s="18" t="s">
        <v>28</v>
      </c>
      <c r="M493" s="27">
        <v>-0.7745966692414834</v>
      </c>
      <c r="N493" s="27">
        <v>8.3264516663550364E-2</v>
      </c>
      <c r="O493" s="28" t="str">
        <f t="shared" si="48"/>
        <v>不校正</v>
      </c>
      <c r="P493" s="18" t="s">
        <v>1787</v>
      </c>
      <c r="Q493" s="18" t="s">
        <v>159</v>
      </c>
      <c r="R493" s="18" t="s">
        <v>160</v>
      </c>
      <c r="S493" s="18"/>
    </row>
    <row r="494" spans="1:19" ht="36" customHeight="1">
      <c r="A494" s="17" t="s">
        <v>1788</v>
      </c>
      <c r="B494" s="17" t="s">
        <v>1762</v>
      </c>
      <c r="C494" s="17" t="s">
        <v>1784</v>
      </c>
      <c r="D494" s="17" t="s">
        <v>1764</v>
      </c>
      <c r="E494" s="18" t="s">
        <v>23</v>
      </c>
      <c r="F494" s="17" t="s">
        <v>1770</v>
      </c>
      <c r="G494" s="17" t="s">
        <v>1789</v>
      </c>
      <c r="H494" s="19">
        <f t="shared" si="46"/>
        <v>3</v>
      </c>
      <c r="I494" s="17" t="s">
        <v>1790</v>
      </c>
      <c r="J494" s="19">
        <f t="shared" si="47"/>
        <v>4</v>
      </c>
      <c r="K494" s="18" t="s">
        <v>64</v>
      </c>
      <c r="L494" s="18" t="s">
        <v>28</v>
      </c>
      <c r="M494" s="27">
        <v>-0.81649658092772615</v>
      </c>
      <c r="N494" s="27">
        <v>0.22067136191984676</v>
      </c>
      <c r="O494" s="28" t="str">
        <f t="shared" si="48"/>
        <v>不校正</v>
      </c>
      <c r="P494" s="18" t="s">
        <v>1787</v>
      </c>
      <c r="Q494" s="18" t="s">
        <v>159</v>
      </c>
      <c r="R494" s="18" t="s">
        <v>160</v>
      </c>
      <c r="S494" s="18"/>
    </row>
    <row r="495" spans="1:19" ht="36" customHeight="1">
      <c r="A495" s="17" t="s">
        <v>1791</v>
      </c>
      <c r="B495" s="17" t="s">
        <v>1762</v>
      </c>
      <c r="C495" s="17" t="s">
        <v>1784</v>
      </c>
      <c r="D495" s="17" t="s">
        <v>1764</v>
      </c>
      <c r="E495" s="18" t="s">
        <v>81</v>
      </c>
      <c r="F495" s="17" t="s">
        <v>82</v>
      </c>
      <c r="G495" s="17" t="s">
        <v>1785</v>
      </c>
      <c r="H495" s="19">
        <f t="shared" si="46"/>
        <v>5</v>
      </c>
      <c r="I495" s="17" t="s">
        <v>860</v>
      </c>
      <c r="J495" s="19">
        <f t="shared" si="47"/>
        <v>1</v>
      </c>
      <c r="K495" s="18" t="s">
        <v>64</v>
      </c>
      <c r="L495" s="18" t="s">
        <v>28</v>
      </c>
      <c r="M495" s="27">
        <v>-0.7745966692414834</v>
      </c>
      <c r="N495" s="27">
        <v>8.3264516663550364E-2</v>
      </c>
      <c r="O495" s="28" t="str">
        <f t="shared" si="48"/>
        <v>不校正</v>
      </c>
      <c r="P495" s="18" t="s">
        <v>1787</v>
      </c>
      <c r="Q495" s="18" t="s">
        <v>159</v>
      </c>
      <c r="R495" s="18" t="s">
        <v>160</v>
      </c>
      <c r="S495" s="18"/>
    </row>
    <row r="496" spans="1:19" ht="36" customHeight="1">
      <c r="A496" s="17" t="s">
        <v>1792</v>
      </c>
      <c r="B496" s="17" t="s">
        <v>1762</v>
      </c>
      <c r="C496" s="17" t="s">
        <v>1793</v>
      </c>
      <c r="D496" s="17" t="s">
        <v>1764</v>
      </c>
      <c r="E496" s="18" t="s">
        <v>23</v>
      </c>
      <c r="F496" s="17" t="s">
        <v>1765</v>
      </c>
      <c r="G496" s="17" t="s">
        <v>1794</v>
      </c>
      <c r="H496" s="19">
        <f t="shared" si="46"/>
        <v>5</v>
      </c>
      <c r="I496" s="17" t="s">
        <v>1795</v>
      </c>
      <c r="J496" s="19">
        <f t="shared" si="47"/>
        <v>15</v>
      </c>
      <c r="K496" s="18" t="s">
        <v>64</v>
      </c>
      <c r="L496" s="18" t="s">
        <v>28</v>
      </c>
      <c r="M496" s="27">
        <v>-0.83666002653407556</v>
      </c>
      <c r="N496" s="27">
        <v>5.2203635341314635E-2</v>
      </c>
      <c r="O496" s="28" t="str">
        <f t="shared" si="48"/>
        <v>不校正</v>
      </c>
      <c r="P496" s="18" t="s">
        <v>1796</v>
      </c>
      <c r="Q496" s="18" t="s">
        <v>159</v>
      </c>
      <c r="R496" s="18" t="s">
        <v>160</v>
      </c>
      <c r="S496" s="18"/>
    </row>
    <row r="497" spans="1:19" ht="36" customHeight="1">
      <c r="A497" s="17" t="s">
        <v>1797</v>
      </c>
      <c r="B497" s="17" t="s">
        <v>1762</v>
      </c>
      <c r="C497" s="17" t="s">
        <v>1793</v>
      </c>
      <c r="D497" s="17" t="s">
        <v>1764</v>
      </c>
      <c r="E497" s="18" t="s">
        <v>23</v>
      </c>
      <c r="F497" s="17" t="s">
        <v>1770</v>
      </c>
      <c r="G497" s="17" t="s">
        <v>1798</v>
      </c>
      <c r="H497" s="19">
        <f t="shared" si="46"/>
        <v>3</v>
      </c>
      <c r="I497" s="17" t="s">
        <v>1799</v>
      </c>
      <c r="J497" s="19">
        <f t="shared" si="47"/>
        <v>10</v>
      </c>
      <c r="K497" s="18" t="s">
        <v>64</v>
      </c>
      <c r="L497" s="18" t="s">
        <v>28</v>
      </c>
      <c r="M497" s="27">
        <v>-0.33333333333333331</v>
      </c>
      <c r="N497" s="27">
        <v>0.60150813444058993</v>
      </c>
      <c r="O497" s="28" t="str">
        <f t="shared" si="48"/>
        <v>不校正</v>
      </c>
      <c r="P497" s="18" t="s">
        <v>1796</v>
      </c>
      <c r="Q497" s="18" t="s">
        <v>159</v>
      </c>
      <c r="R497" s="18" t="s">
        <v>160</v>
      </c>
      <c r="S497" s="18"/>
    </row>
    <row r="498" spans="1:19" ht="36" customHeight="1">
      <c r="A498" s="17" t="s">
        <v>1800</v>
      </c>
      <c r="B498" s="17" t="s">
        <v>1762</v>
      </c>
      <c r="C498" s="17" t="s">
        <v>1793</v>
      </c>
      <c r="D498" s="17" t="s">
        <v>1764</v>
      </c>
      <c r="E498" s="18" t="s">
        <v>81</v>
      </c>
      <c r="F498" s="17" t="s">
        <v>82</v>
      </c>
      <c r="G498" s="17" t="s">
        <v>1794</v>
      </c>
      <c r="H498" s="19">
        <f t="shared" si="46"/>
        <v>5</v>
      </c>
      <c r="I498" s="17" t="s">
        <v>1093</v>
      </c>
      <c r="J498" s="19">
        <f t="shared" si="47"/>
        <v>1</v>
      </c>
      <c r="K498" s="18" t="s">
        <v>64</v>
      </c>
      <c r="L498" s="18" t="s">
        <v>28</v>
      </c>
      <c r="M498" s="27">
        <v>-0.83666002653407556</v>
      </c>
      <c r="N498" s="27">
        <v>5.2203635341314635E-2</v>
      </c>
      <c r="O498" s="28" t="str">
        <f t="shared" si="48"/>
        <v>不校正</v>
      </c>
      <c r="P498" s="18" t="s">
        <v>1796</v>
      </c>
      <c r="Q498" s="18" t="s">
        <v>159</v>
      </c>
      <c r="R498" s="18" t="s">
        <v>160</v>
      </c>
      <c r="S498" s="18"/>
    </row>
    <row r="499" spans="1:19" ht="36" customHeight="1">
      <c r="A499" s="2" t="s">
        <v>1801</v>
      </c>
      <c r="B499" s="2" t="s">
        <v>1802</v>
      </c>
      <c r="C499" s="2" t="s">
        <v>1803</v>
      </c>
      <c r="D499" s="2" t="s">
        <v>1804</v>
      </c>
      <c r="E499" s="3" t="s">
        <v>23</v>
      </c>
      <c r="F499" s="2" t="s">
        <v>1805</v>
      </c>
      <c r="G499" s="2" t="s">
        <v>1806</v>
      </c>
      <c r="H499" s="4">
        <f t="shared" si="46"/>
        <v>5</v>
      </c>
      <c r="I499" s="2" t="s">
        <v>1807</v>
      </c>
      <c r="J499" s="4">
        <f t="shared" si="47"/>
        <v>5</v>
      </c>
      <c r="K499" s="3" t="s">
        <v>1708</v>
      </c>
      <c r="L499" s="3" t="s">
        <v>28</v>
      </c>
      <c r="M499" s="5">
        <v>-0.6</v>
      </c>
      <c r="N499" s="5">
        <v>0.14164469029513679</v>
      </c>
      <c r="O499" s="6" t="str">
        <f t="shared" si="48"/>
        <v>不校正</v>
      </c>
      <c r="P499" s="3" t="s">
        <v>1808</v>
      </c>
      <c r="Q499" s="3" t="s">
        <v>159</v>
      </c>
      <c r="R499" s="3" t="s">
        <v>160</v>
      </c>
      <c r="S499" s="3"/>
    </row>
    <row r="500" spans="1:19" ht="36" customHeight="1">
      <c r="A500" s="7" t="s">
        <v>1809</v>
      </c>
      <c r="B500" s="7" t="s">
        <v>1802</v>
      </c>
      <c r="C500" s="7" t="s">
        <v>1803</v>
      </c>
      <c r="D500" s="7" t="s">
        <v>1804</v>
      </c>
      <c r="E500" s="8" t="s">
        <v>23</v>
      </c>
      <c r="F500" s="7" t="s">
        <v>1810</v>
      </c>
      <c r="G500" s="7" t="s">
        <v>1811</v>
      </c>
      <c r="H500" s="9">
        <f t="shared" si="46"/>
        <v>3</v>
      </c>
      <c r="I500" s="7" t="s">
        <v>1812</v>
      </c>
      <c r="J500" s="9">
        <f t="shared" si="47"/>
        <v>3</v>
      </c>
      <c r="K500" s="8" t="s">
        <v>1708</v>
      </c>
      <c r="L500" s="8" t="s">
        <v>28</v>
      </c>
      <c r="M500" s="10">
        <v>-0.81649658092772615</v>
      </c>
      <c r="N500" s="10">
        <v>0.22067136191984676</v>
      </c>
      <c r="O500" s="11" t="str">
        <f t="shared" si="48"/>
        <v>不校正</v>
      </c>
      <c r="P500" s="8" t="s">
        <v>1808</v>
      </c>
      <c r="Q500" s="8" t="s">
        <v>159</v>
      </c>
      <c r="R500" s="8" t="s">
        <v>160</v>
      </c>
      <c r="S500" s="8"/>
    </row>
    <row r="501" spans="1:19" ht="48" customHeight="1">
      <c r="A501" s="7" t="s">
        <v>1813</v>
      </c>
      <c r="B501" s="7" t="s">
        <v>1802</v>
      </c>
      <c r="C501" s="7" t="s">
        <v>1803</v>
      </c>
      <c r="D501" s="7" t="s">
        <v>1814</v>
      </c>
      <c r="E501" s="8" t="s">
        <v>23</v>
      </c>
      <c r="F501" s="7" t="s">
        <v>1805</v>
      </c>
      <c r="G501" s="7" t="s">
        <v>1815</v>
      </c>
      <c r="H501" s="9">
        <f t="shared" si="46"/>
        <v>9</v>
      </c>
      <c r="I501" s="7" t="s">
        <v>1816</v>
      </c>
      <c r="J501" s="9">
        <f t="shared" si="47"/>
        <v>5</v>
      </c>
      <c r="K501" s="8" t="s">
        <v>1708</v>
      </c>
      <c r="L501" s="8" t="s">
        <v>28</v>
      </c>
      <c r="M501" s="10">
        <v>-0.73029674334022154</v>
      </c>
      <c r="N501" s="10">
        <v>8.5619168960638266E-3</v>
      </c>
      <c r="O501" s="11" t="str">
        <f t="shared" si="48"/>
        <v>不校正</v>
      </c>
      <c r="P501" s="8" t="s">
        <v>1817</v>
      </c>
      <c r="Q501" s="8" t="s">
        <v>159</v>
      </c>
      <c r="R501" s="8" t="s">
        <v>160</v>
      </c>
      <c r="S501" s="8"/>
    </row>
    <row r="502" spans="1:19" ht="36" customHeight="1">
      <c r="A502" s="7" t="s">
        <v>1818</v>
      </c>
      <c r="B502" s="7" t="s">
        <v>1802</v>
      </c>
      <c r="C502" s="7" t="s">
        <v>1803</v>
      </c>
      <c r="D502" s="7" t="s">
        <v>1819</v>
      </c>
      <c r="E502" s="8" t="s">
        <v>23</v>
      </c>
      <c r="F502" s="7" t="s">
        <v>1805</v>
      </c>
      <c r="G502" s="7" t="s">
        <v>1820</v>
      </c>
      <c r="H502" s="9">
        <f t="shared" si="46"/>
        <v>10</v>
      </c>
      <c r="I502" s="7" t="s">
        <v>1821</v>
      </c>
      <c r="J502" s="9">
        <f t="shared" si="47"/>
        <v>5</v>
      </c>
      <c r="K502" s="8" t="s">
        <v>1708</v>
      </c>
      <c r="L502" s="8" t="s">
        <v>28</v>
      </c>
      <c r="M502" s="10">
        <v>-0.23002185311411807</v>
      </c>
      <c r="N502" s="10">
        <v>0.36527604440928335</v>
      </c>
      <c r="O502" s="11" t="str">
        <f t="shared" si="48"/>
        <v>不校正</v>
      </c>
      <c r="P502" s="8" t="s">
        <v>1822</v>
      </c>
      <c r="Q502" s="8" t="s">
        <v>159</v>
      </c>
      <c r="R502" s="8" t="s">
        <v>160</v>
      </c>
      <c r="S502" s="8"/>
    </row>
    <row r="503" spans="1:19" ht="36" customHeight="1">
      <c r="A503" s="7" t="s">
        <v>1823</v>
      </c>
      <c r="B503" s="7" t="s">
        <v>1802</v>
      </c>
      <c r="C503" s="7" t="s">
        <v>1824</v>
      </c>
      <c r="D503" s="7" t="s">
        <v>1825</v>
      </c>
      <c r="E503" s="8" t="s">
        <v>23</v>
      </c>
      <c r="F503" s="7" t="s">
        <v>1805</v>
      </c>
      <c r="G503" s="7" t="s">
        <v>1826</v>
      </c>
      <c r="H503" s="9">
        <f t="shared" si="46"/>
        <v>5</v>
      </c>
      <c r="I503" s="7" t="s">
        <v>1827</v>
      </c>
      <c r="J503" s="9">
        <f t="shared" si="47"/>
        <v>7</v>
      </c>
      <c r="K503" s="8" t="s">
        <v>1708</v>
      </c>
      <c r="L503" s="8" t="s">
        <v>28</v>
      </c>
      <c r="M503" s="10">
        <v>-0.73786478737262184</v>
      </c>
      <c r="N503" s="10">
        <v>7.697417298126677E-2</v>
      </c>
      <c r="O503" s="11" t="str">
        <f t="shared" si="48"/>
        <v>不校正</v>
      </c>
      <c r="P503" s="8" t="s">
        <v>1828</v>
      </c>
      <c r="Q503" s="8" t="s">
        <v>159</v>
      </c>
      <c r="R503" s="8" t="s">
        <v>160</v>
      </c>
      <c r="S503" s="8"/>
    </row>
    <row r="504" spans="1:19" ht="36" customHeight="1">
      <c r="A504" s="7" t="s">
        <v>1829</v>
      </c>
      <c r="B504" s="7" t="s">
        <v>1802</v>
      </c>
      <c r="C504" s="7" t="s">
        <v>1824</v>
      </c>
      <c r="D504" s="7" t="s">
        <v>1825</v>
      </c>
      <c r="E504" s="8" t="s">
        <v>23</v>
      </c>
      <c r="F504" s="7" t="s">
        <v>1810</v>
      </c>
      <c r="G504" s="7" t="s">
        <v>1830</v>
      </c>
      <c r="H504" s="9">
        <f t="shared" si="46"/>
        <v>3</v>
      </c>
      <c r="I504" s="7" t="s">
        <v>1831</v>
      </c>
      <c r="J504" s="9">
        <f t="shared" si="47"/>
        <v>3</v>
      </c>
      <c r="K504" s="8" t="s">
        <v>1708</v>
      </c>
      <c r="L504" s="8" t="s">
        <v>28</v>
      </c>
      <c r="M504" s="10">
        <v>-1</v>
      </c>
      <c r="N504" s="10">
        <v>0.11718508719813807</v>
      </c>
      <c r="O504" s="11" t="str">
        <f t="shared" si="48"/>
        <v>不校正</v>
      </c>
      <c r="P504" s="8" t="s">
        <v>1828</v>
      </c>
      <c r="Q504" s="8" t="s">
        <v>159</v>
      </c>
      <c r="R504" s="8" t="s">
        <v>160</v>
      </c>
      <c r="S504" s="8"/>
    </row>
    <row r="505" spans="1:19" ht="36" customHeight="1">
      <c r="A505" s="7" t="s">
        <v>1832</v>
      </c>
      <c r="B505" s="7" t="s">
        <v>1802</v>
      </c>
      <c r="C505" s="7" t="s">
        <v>1824</v>
      </c>
      <c r="D505" s="7" t="s">
        <v>1804</v>
      </c>
      <c r="E505" s="8" t="s">
        <v>23</v>
      </c>
      <c r="F505" s="7" t="s">
        <v>1805</v>
      </c>
      <c r="G505" s="7" t="s">
        <v>1833</v>
      </c>
      <c r="H505" s="9">
        <f t="shared" si="46"/>
        <v>10</v>
      </c>
      <c r="I505" s="7" t="s">
        <v>1834</v>
      </c>
      <c r="J505" s="9">
        <f t="shared" si="47"/>
        <v>5</v>
      </c>
      <c r="K505" s="8" t="s">
        <v>1708</v>
      </c>
      <c r="L505" s="8" t="s">
        <v>28</v>
      </c>
      <c r="M505" s="10">
        <v>-0.72547625011001171</v>
      </c>
      <c r="N505" s="10">
        <v>5.2146051252094762E-3</v>
      </c>
      <c r="O505" s="11" t="str">
        <f t="shared" si="48"/>
        <v>不校正</v>
      </c>
      <c r="P505" s="8" t="s">
        <v>1835</v>
      </c>
      <c r="Q505" s="8" t="s">
        <v>159</v>
      </c>
      <c r="R505" s="8" t="s">
        <v>160</v>
      </c>
      <c r="S505" s="8"/>
    </row>
    <row r="506" spans="1:19" ht="48" customHeight="1">
      <c r="A506" s="7" t="s">
        <v>1836</v>
      </c>
      <c r="B506" s="7" t="s">
        <v>1802</v>
      </c>
      <c r="C506" s="7" t="s">
        <v>1824</v>
      </c>
      <c r="D506" s="7" t="s">
        <v>1819</v>
      </c>
      <c r="E506" s="8" t="s">
        <v>23</v>
      </c>
      <c r="F506" s="7" t="s">
        <v>1805</v>
      </c>
      <c r="G506" s="7" t="s">
        <v>1837</v>
      </c>
      <c r="H506" s="9">
        <f t="shared" si="46"/>
        <v>9</v>
      </c>
      <c r="I506" s="7" t="s">
        <v>1838</v>
      </c>
      <c r="J506" s="9">
        <f t="shared" si="47"/>
        <v>7</v>
      </c>
      <c r="K506" s="8" t="s">
        <v>1708</v>
      </c>
      <c r="L506" s="8" t="s">
        <v>28</v>
      </c>
      <c r="M506" s="10">
        <v>-0.77777777777777779</v>
      </c>
      <c r="N506" s="10">
        <v>3.5092897047450736E-3</v>
      </c>
      <c r="O506" s="11" t="str">
        <f t="shared" si="48"/>
        <v>不校正</v>
      </c>
      <c r="P506" s="8" t="s">
        <v>1839</v>
      </c>
      <c r="Q506" s="8" t="s">
        <v>159</v>
      </c>
      <c r="R506" s="8" t="s">
        <v>160</v>
      </c>
      <c r="S506" s="8"/>
    </row>
    <row r="507" spans="1:19" ht="36" customHeight="1">
      <c r="A507" s="7" t="s">
        <v>1840</v>
      </c>
      <c r="B507" s="7" t="s">
        <v>1802</v>
      </c>
      <c r="C507" s="7" t="s">
        <v>1841</v>
      </c>
      <c r="D507" s="7" t="s">
        <v>1804</v>
      </c>
      <c r="E507" s="8" t="s">
        <v>23</v>
      </c>
      <c r="F507" s="7" t="s">
        <v>1805</v>
      </c>
      <c r="G507" s="7" t="s">
        <v>1842</v>
      </c>
      <c r="H507" s="9">
        <f t="shared" si="46"/>
        <v>5</v>
      </c>
      <c r="I507" s="7" t="s">
        <v>1843</v>
      </c>
      <c r="J507" s="9">
        <f t="shared" si="47"/>
        <v>8</v>
      </c>
      <c r="K507" s="8" t="s">
        <v>1708</v>
      </c>
      <c r="L507" s="8" t="s">
        <v>28</v>
      </c>
      <c r="M507" s="10">
        <v>0</v>
      </c>
      <c r="N507" s="10">
        <v>1</v>
      </c>
      <c r="O507" s="11" t="str">
        <f t="shared" si="48"/>
        <v>不校正</v>
      </c>
      <c r="P507" s="8" t="s">
        <v>1844</v>
      </c>
      <c r="Q507" s="8" t="s">
        <v>159</v>
      </c>
      <c r="R507" s="8" t="s">
        <v>160</v>
      </c>
      <c r="S507" s="8"/>
    </row>
    <row r="508" spans="1:19" ht="36" customHeight="1">
      <c r="A508" s="7" t="s">
        <v>1845</v>
      </c>
      <c r="B508" s="7" t="s">
        <v>1802</v>
      </c>
      <c r="C508" s="7" t="s">
        <v>1841</v>
      </c>
      <c r="D508" s="7" t="s">
        <v>1804</v>
      </c>
      <c r="E508" s="8" t="s">
        <v>23</v>
      </c>
      <c r="F508" s="7" t="s">
        <v>1810</v>
      </c>
      <c r="G508" s="7" t="s">
        <v>1846</v>
      </c>
      <c r="H508" s="9">
        <f t="shared" si="46"/>
        <v>3</v>
      </c>
      <c r="I508" s="7" t="s">
        <v>1847</v>
      </c>
      <c r="J508" s="9">
        <f t="shared" si="47"/>
        <v>3</v>
      </c>
      <c r="K508" s="8" t="s">
        <v>1708</v>
      </c>
      <c r="L508" s="8" t="s">
        <v>28</v>
      </c>
      <c r="M508" s="10">
        <v>-1</v>
      </c>
      <c r="N508" s="10">
        <v>0.11718508719813807</v>
      </c>
      <c r="O508" s="11" t="str">
        <f t="shared" si="48"/>
        <v>不校正</v>
      </c>
      <c r="P508" s="8" t="s">
        <v>1844</v>
      </c>
      <c r="Q508" s="8" t="s">
        <v>159</v>
      </c>
      <c r="R508" s="8" t="s">
        <v>160</v>
      </c>
      <c r="S508" s="8"/>
    </row>
    <row r="509" spans="1:19" ht="48" customHeight="1">
      <c r="A509" s="7" t="s">
        <v>1848</v>
      </c>
      <c r="B509" s="7" t="s">
        <v>1802</v>
      </c>
      <c r="C509" s="7" t="s">
        <v>1841</v>
      </c>
      <c r="D509" s="7" t="s">
        <v>1849</v>
      </c>
      <c r="E509" s="8" t="s">
        <v>23</v>
      </c>
      <c r="F509" s="7" t="s">
        <v>1805</v>
      </c>
      <c r="G509" s="7" t="s">
        <v>1850</v>
      </c>
      <c r="H509" s="9">
        <f t="shared" si="46"/>
        <v>10</v>
      </c>
      <c r="I509" s="7" t="s">
        <v>1851</v>
      </c>
      <c r="J509" s="9">
        <f t="shared" si="47"/>
        <v>7</v>
      </c>
      <c r="K509" s="8" t="s">
        <v>1708</v>
      </c>
      <c r="L509" s="8" t="s">
        <v>28</v>
      </c>
      <c r="M509" s="10">
        <v>0.31031644541708758</v>
      </c>
      <c r="N509" s="10">
        <v>0.23206348890203424</v>
      </c>
      <c r="O509" s="11" t="str">
        <f t="shared" si="48"/>
        <v>不校正</v>
      </c>
      <c r="P509" s="8" t="s">
        <v>1852</v>
      </c>
      <c r="Q509" s="8" t="s">
        <v>159</v>
      </c>
      <c r="R509" s="8" t="s">
        <v>160</v>
      </c>
      <c r="S509" s="8"/>
    </row>
    <row r="510" spans="1:19" ht="48" customHeight="1">
      <c r="A510" s="7" t="s">
        <v>1853</v>
      </c>
      <c r="B510" s="7" t="s">
        <v>1802</v>
      </c>
      <c r="C510" s="7" t="s">
        <v>1841</v>
      </c>
      <c r="D510" s="7" t="s">
        <v>1819</v>
      </c>
      <c r="E510" s="8" t="s">
        <v>23</v>
      </c>
      <c r="F510" s="7" t="s">
        <v>1805</v>
      </c>
      <c r="G510" s="7" t="s">
        <v>1854</v>
      </c>
      <c r="H510" s="9">
        <f t="shared" si="46"/>
        <v>12</v>
      </c>
      <c r="I510" s="7" t="s">
        <v>1855</v>
      </c>
      <c r="J510" s="9">
        <f t="shared" si="47"/>
        <v>5</v>
      </c>
      <c r="K510" s="8" t="s">
        <v>1708</v>
      </c>
      <c r="L510" s="8" t="s">
        <v>28</v>
      </c>
      <c r="M510" s="10">
        <v>-0.55160876579486906</v>
      </c>
      <c r="N510" s="10">
        <v>1.5150546805045037E-2</v>
      </c>
      <c r="O510" s="11" t="str">
        <f t="shared" si="48"/>
        <v>不校正</v>
      </c>
      <c r="P510" s="8" t="s">
        <v>1856</v>
      </c>
      <c r="Q510" s="8" t="s">
        <v>159</v>
      </c>
      <c r="R510" s="8" t="s">
        <v>160</v>
      </c>
      <c r="S510" s="8"/>
    </row>
    <row r="511" spans="1:19" ht="36" customHeight="1">
      <c r="A511" s="12" t="s">
        <v>1857</v>
      </c>
      <c r="B511" s="12" t="s">
        <v>1858</v>
      </c>
      <c r="C511" s="12" t="s">
        <v>1859</v>
      </c>
      <c r="D511" s="12" t="s">
        <v>988</v>
      </c>
      <c r="E511" s="13" t="s">
        <v>23</v>
      </c>
      <c r="F511" s="12" t="s">
        <v>1860</v>
      </c>
      <c r="G511" s="12" t="s">
        <v>328</v>
      </c>
      <c r="H511" s="14">
        <f t="shared" si="46"/>
        <v>3</v>
      </c>
      <c r="I511" s="12" t="s">
        <v>1861</v>
      </c>
      <c r="J511" s="14">
        <f t="shared" si="47"/>
        <v>9</v>
      </c>
      <c r="K511" s="13" t="s">
        <v>1862</v>
      </c>
      <c r="L511" s="13" t="s">
        <v>28</v>
      </c>
      <c r="M511" s="15"/>
      <c r="N511" s="15"/>
      <c r="O511" s="16" t="s">
        <v>190</v>
      </c>
      <c r="P511" s="13" t="s">
        <v>1863</v>
      </c>
      <c r="Q511" s="13" t="s">
        <v>159</v>
      </c>
      <c r="R511" s="13" t="s">
        <v>160</v>
      </c>
      <c r="S511" s="13" t="s">
        <v>192</v>
      </c>
    </row>
    <row r="512" spans="1:19" ht="36" customHeight="1">
      <c r="A512" s="17" t="s">
        <v>1864</v>
      </c>
      <c r="B512" s="17" t="s">
        <v>1858</v>
      </c>
      <c r="C512" s="17" t="s">
        <v>1859</v>
      </c>
      <c r="D512" s="17" t="s">
        <v>1865</v>
      </c>
      <c r="E512" s="18" t="s">
        <v>23</v>
      </c>
      <c r="F512" s="17" t="s">
        <v>1860</v>
      </c>
      <c r="G512" s="17" t="s">
        <v>328</v>
      </c>
      <c r="H512" s="19">
        <f t="shared" si="46"/>
        <v>3</v>
      </c>
      <c r="I512" s="17" t="s">
        <v>1866</v>
      </c>
      <c r="J512" s="19">
        <f t="shared" si="47"/>
        <v>9</v>
      </c>
      <c r="K512" s="18" t="s">
        <v>64</v>
      </c>
      <c r="L512" s="18" t="s">
        <v>28</v>
      </c>
      <c r="M512" s="20"/>
      <c r="N512" s="20"/>
      <c r="O512" s="21" t="s">
        <v>190</v>
      </c>
      <c r="P512" s="18" t="s">
        <v>1867</v>
      </c>
      <c r="Q512" s="18" t="s">
        <v>159</v>
      </c>
      <c r="R512" s="18" t="s">
        <v>160</v>
      </c>
      <c r="S512" s="18" t="s">
        <v>192</v>
      </c>
    </row>
    <row r="513" spans="1:19" ht="36" customHeight="1">
      <c r="A513" s="17" t="s">
        <v>1868</v>
      </c>
      <c r="B513" s="17" t="s">
        <v>1858</v>
      </c>
      <c r="C513" s="17" t="s">
        <v>1869</v>
      </c>
      <c r="D513" s="17" t="s">
        <v>988</v>
      </c>
      <c r="E513" s="18" t="s">
        <v>23</v>
      </c>
      <c r="F513" s="17" t="s">
        <v>1860</v>
      </c>
      <c r="G513" s="22"/>
      <c r="H513" s="23"/>
      <c r="I513" s="22"/>
      <c r="J513" s="23"/>
      <c r="K513" s="18" t="s">
        <v>1862</v>
      </c>
      <c r="L513" s="18" t="s">
        <v>28</v>
      </c>
      <c r="M513" s="20"/>
      <c r="N513" s="20"/>
      <c r="O513" s="21"/>
      <c r="P513" s="18" t="s">
        <v>1870</v>
      </c>
      <c r="Q513" s="18" t="s">
        <v>159</v>
      </c>
      <c r="R513" s="24" t="s">
        <v>94</v>
      </c>
      <c r="S513" s="18" t="s">
        <v>1871</v>
      </c>
    </row>
    <row r="514" spans="1:19" ht="36" customHeight="1">
      <c r="A514" s="17" t="s">
        <v>1872</v>
      </c>
      <c r="B514" s="17" t="s">
        <v>1858</v>
      </c>
      <c r="C514" s="17" t="s">
        <v>1869</v>
      </c>
      <c r="D514" s="17" t="s">
        <v>1865</v>
      </c>
      <c r="E514" s="18" t="s">
        <v>23</v>
      </c>
      <c r="F514" s="17" t="s">
        <v>1860</v>
      </c>
      <c r="G514" s="17" t="s">
        <v>1873</v>
      </c>
      <c r="H514" s="19">
        <f>IF(LEN(G514)=0,"",IF(ISNUMBER(SEARCH(",",G514)),LEN(SUBSTITUTE(G514,",","xx"))-LEN(G514)+1,1))</f>
        <v>5</v>
      </c>
      <c r="I514" s="17" t="s">
        <v>1874</v>
      </c>
      <c r="J514" s="19">
        <f>IF(LEN(I514)=0,"",IF(ISNUMBER(SEARCH(",",I514)),LEN(SUBSTITUTE(I514,",","xx"))-LEN(I514)+1,1))</f>
        <v>7</v>
      </c>
      <c r="K514" s="18" t="s">
        <v>64</v>
      </c>
      <c r="L514" s="18" t="s">
        <v>28</v>
      </c>
      <c r="M514" s="27">
        <v>-0.10540925533894598</v>
      </c>
      <c r="N514" s="27">
        <v>0.80054210742312626</v>
      </c>
      <c r="O514" s="28" t="str">
        <f>IF(AND(N514&lt;0.05,OR(AND(L514="升高改善",M514&gt;0),AND(L514="降低改善",M514&lt;0))),"校正","不校正")</f>
        <v>不校正</v>
      </c>
      <c r="P514" s="18" t="s">
        <v>1875</v>
      </c>
      <c r="Q514" s="18" t="s">
        <v>159</v>
      </c>
      <c r="R514" s="18" t="s">
        <v>160</v>
      </c>
      <c r="S514" s="18"/>
    </row>
    <row r="515" spans="1:19" ht="36" customHeight="1">
      <c r="A515" s="17" t="s">
        <v>1876</v>
      </c>
      <c r="B515" s="17" t="s">
        <v>1858</v>
      </c>
      <c r="C515" s="17" t="s">
        <v>1877</v>
      </c>
      <c r="D515" s="17" t="s">
        <v>988</v>
      </c>
      <c r="E515" s="18" t="s">
        <v>23</v>
      </c>
      <c r="F515" s="17" t="s">
        <v>1860</v>
      </c>
      <c r="G515" s="22"/>
      <c r="H515" s="23"/>
      <c r="I515" s="22"/>
      <c r="J515" s="23"/>
      <c r="K515" s="18" t="s">
        <v>1862</v>
      </c>
      <c r="L515" s="18" t="s">
        <v>28</v>
      </c>
      <c r="M515" s="20"/>
      <c r="N515" s="20"/>
      <c r="O515" s="21"/>
      <c r="P515" s="18" t="s">
        <v>1878</v>
      </c>
      <c r="Q515" s="18" t="s">
        <v>159</v>
      </c>
      <c r="R515" s="24" t="s">
        <v>94</v>
      </c>
      <c r="S515" s="18" t="s">
        <v>1879</v>
      </c>
    </row>
    <row r="516" spans="1:19" ht="36" customHeight="1">
      <c r="A516" s="17" t="s">
        <v>1880</v>
      </c>
      <c r="B516" s="17" t="s">
        <v>1858</v>
      </c>
      <c r="C516" s="17" t="s">
        <v>1877</v>
      </c>
      <c r="D516" s="17" t="s">
        <v>1865</v>
      </c>
      <c r="E516" s="18" t="s">
        <v>23</v>
      </c>
      <c r="F516" s="17" t="s">
        <v>1860</v>
      </c>
      <c r="G516" s="17" t="s">
        <v>1881</v>
      </c>
      <c r="H516" s="19">
        <f>IF(LEN(G516)=0,"",IF(ISNUMBER(SEARCH(",",G516)),LEN(SUBSTITUTE(G516,",","xx"))-LEN(G516)+1,1))</f>
        <v>8</v>
      </c>
      <c r="I516" s="17" t="s">
        <v>1882</v>
      </c>
      <c r="J516" s="19">
        <f>IF(LEN(I516)=0,"",IF(ISNUMBER(SEARCH(",",I516)),LEN(SUBSTITUTE(I516,",","xx"))-LEN(I516)+1,1))</f>
        <v>12</v>
      </c>
      <c r="K516" s="18" t="s">
        <v>64</v>
      </c>
      <c r="L516" s="18" t="s">
        <v>28</v>
      </c>
      <c r="M516" s="20"/>
      <c r="N516" s="20"/>
      <c r="O516" s="21" t="s">
        <v>190</v>
      </c>
      <c r="P516" s="18" t="s">
        <v>1883</v>
      </c>
      <c r="Q516" s="18" t="s">
        <v>159</v>
      </c>
      <c r="R516" s="18" t="s">
        <v>160</v>
      </c>
      <c r="S516" s="18" t="s">
        <v>192</v>
      </c>
    </row>
    <row r="517" spans="1:19" ht="36" customHeight="1">
      <c r="A517" s="17" t="s">
        <v>1884</v>
      </c>
      <c r="B517" s="17" t="s">
        <v>1858</v>
      </c>
      <c r="C517" s="17" t="s">
        <v>1885</v>
      </c>
      <c r="D517" s="17" t="s">
        <v>988</v>
      </c>
      <c r="E517" s="18" t="s">
        <v>23</v>
      </c>
      <c r="F517" s="17" t="s">
        <v>1860</v>
      </c>
      <c r="G517" s="22"/>
      <c r="H517" s="23"/>
      <c r="I517" s="22"/>
      <c r="J517" s="23"/>
      <c r="K517" s="18" t="s">
        <v>1862</v>
      </c>
      <c r="L517" s="18" t="s">
        <v>28</v>
      </c>
      <c r="M517" s="20"/>
      <c r="N517" s="20"/>
      <c r="O517" s="21"/>
      <c r="P517" s="18" t="s">
        <v>1886</v>
      </c>
      <c r="Q517" s="18" t="s">
        <v>159</v>
      </c>
      <c r="R517" s="24" t="s">
        <v>94</v>
      </c>
      <c r="S517" s="18" t="s">
        <v>1887</v>
      </c>
    </row>
    <row r="518" spans="1:19" ht="36" customHeight="1">
      <c r="A518" s="17" t="s">
        <v>1888</v>
      </c>
      <c r="B518" s="17" t="s">
        <v>1858</v>
      </c>
      <c r="C518" s="17" t="s">
        <v>1885</v>
      </c>
      <c r="D518" s="17" t="s">
        <v>1865</v>
      </c>
      <c r="E518" s="18" t="s">
        <v>23</v>
      </c>
      <c r="F518" s="17" t="s">
        <v>1860</v>
      </c>
      <c r="G518" s="17" t="s">
        <v>1889</v>
      </c>
      <c r="H518" s="19">
        <f t="shared" ref="H518:H531" si="49">IF(LEN(G518)=0,"",IF(ISNUMBER(SEARCH(",",G518)),LEN(SUBSTITUTE(G518,",","xx"))-LEN(G518)+1,1))</f>
        <v>10</v>
      </c>
      <c r="I518" s="17" t="s">
        <v>1890</v>
      </c>
      <c r="J518" s="19">
        <f t="shared" ref="J518:J531" si="50">IF(LEN(I518)=0,"",IF(ISNUMBER(SEARCH(",",I518)),LEN(SUBSTITUTE(I518,",","xx"))-LEN(I518)+1,1))</f>
        <v>11</v>
      </c>
      <c r="K518" s="18" t="s">
        <v>64</v>
      </c>
      <c r="L518" s="18" t="s">
        <v>28</v>
      </c>
      <c r="M518" s="20"/>
      <c r="N518" s="20"/>
      <c r="O518" s="21" t="s">
        <v>190</v>
      </c>
      <c r="P518" s="18" t="s">
        <v>1891</v>
      </c>
      <c r="Q518" s="18" t="s">
        <v>159</v>
      </c>
      <c r="R518" s="18" t="s">
        <v>160</v>
      </c>
      <c r="S518" s="18" t="s">
        <v>192</v>
      </c>
    </row>
    <row r="519" spans="1:19" ht="36" customHeight="1">
      <c r="A519" s="2" t="s">
        <v>1892</v>
      </c>
      <c r="B519" s="2" t="s">
        <v>1893</v>
      </c>
      <c r="C519" s="2" t="s">
        <v>1894</v>
      </c>
      <c r="D519" s="2" t="s">
        <v>1895</v>
      </c>
      <c r="E519" s="3" t="s">
        <v>23</v>
      </c>
      <c r="F519" s="2" t="s">
        <v>1896</v>
      </c>
      <c r="G519" s="2" t="s">
        <v>1897</v>
      </c>
      <c r="H519" s="4">
        <f t="shared" si="49"/>
        <v>5</v>
      </c>
      <c r="I519" s="2" t="s">
        <v>1898</v>
      </c>
      <c r="J519" s="4">
        <f t="shared" si="50"/>
        <v>10</v>
      </c>
      <c r="K519" s="3" t="s">
        <v>64</v>
      </c>
      <c r="L519" s="3" t="s">
        <v>28</v>
      </c>
      <c r="M519" s="5">
        <v>0.2</v>
      </c>
      <c r="N519" s="5">
        <v>0.62420611476640608</v>
      </c>
      <c r="O519" s="6" t="str">
        <f t="shared" ref="O519:O524" si="51">IF(AND(N519&lt;0.05,OR(AND(L519="升高改善",M519&gt;0),AND(L519="降低改善",M519&lt;0))),"校正","不校正")</f>
        <v>不校正</v>
      </c>
      <c r="P519" s="3" t="s">
        <v>1899</v>
      </c>
      <c r="Q519" s="3" t="s">
        <v>159</v>
      </c>
      <c r="R519" s="3" t="s">
        <v>160</v>
      </c>
      <c r="S519" s="3"/>
    </row>
    <row r="520" spans="1:19" ht="60" customHeight="1">
      <c r="A520" s="7" t="s">
        <v>1900</v>
      </c>
      <c r="B520" s="7" t="s">
        <v>1893</v>
      </c>
      <c r="C520" s="7" t="s">
        <v>1894</v>
      </c>
      <c r="D520" s="7" t="s">
        <v>1895</v>
      </c>
      <c r="E520" s="8" t="s">
        <v>34</v>
      </c>
      <c r="F520" s="7" t="s">
        <v>1901</v>
      </c>
      <c r="G520" s="7" t="s">
        <v>1897</v>
      </c>
      <c r="H520" s="9">
        <f t="shared" si="49"/>
        <v>5</v>
      </c>
      <c r="I520" s="7" t="s">
        <v>1902</v>
      </c>
      <c r="J520" s="9">
        <f t="shared" si="50"/>
        <v>9</v>
      </c>
      <c r="K520" s="8" t="s">
        <v>64</v>
      </c>
      <c r="L520" s="8" t="s">
        <v>28</v>
      </c>
      <c r="M520" s="10">
        <v>0.2</v>
      </c>
      <c r="N520" s="10">
        <v>0.62420611476640608</v>
      </c>
      <c r="O520" s="11" t="str">
        <f t="shared" si="51"/>
        <v>不校正</v>
      </c>
      <c r="P520" s="8" t="s">
        <v>1903</v>
      </c>
      <c r="Q520" s="8" t="s">
        <v>159</v>
      </c>
      <c r="R520" s="8" t="s">
        <v>160</v>
      </c>
      <c r="S520" s="8"/>
    </row>
    <row r="521" spans="1:19" ht="36" customHeight="1">
      <c r="A521" s="7" t="s">
        <v>1904</v>
      </c>
      <c r="B521" s="7" t="s">
        <v>1893</v>
      </c>
      <c r="C521" s="7" t="s">
        <v>1894</v>
      </c>
      <c r="D521" s="7" t="s">
        <v>1905</v>
      </c>
      <c r="E521" s="8" t="s">
        <v>23</v>
      </c>
      <c r="F521" s="7" t="s">
        <v>1896</v>
      </c>
      <c r="G521" s="7" t="s">
        <v>1906</v>
      </c>
      <c r="H521" s="9">
        <f t="shared" si="49"/>
        <v>5</v>
      </c>
      <c r="I521" s="7" t="s">
        <v>1907</v>
      </c>
      <c r="J521" s="9">
        <f t="shared" si="50"/>
        <v>10</v>
      </c>
      <c r="K521" s="8" t="s">
        <v>64</v>
      </c>
      <c r="L521" s="8" t="s">
        <v>28</v>
      </c>
      <c r="M521" s="10">
        <v>-0.10540925533894598</v>
      </c>
      <c r="N521" s="10">
        <v>0.80054210742312626</v>
      </c>
      <c r="O521" s="11" t="str">
        <f t="shared" si="51"/>
        <v>不校正</v>
      </c>
      <c r="P521" s="8" t="s">
        <v>1908</v>
      </c>
      <c r="Q521" s="8" t="s">
        <v>159</v>
      </c>
      <c r="R521" s="8" t="s">
        <v>160</v>
      </c>
      <c r="S521" s="8"/>
    </row>
    <row r="522" spans="1:19" ht="36" customHeight="1">
      <c r="A522" s="7" t="s">
        <v>1909</v>
      </c>
      <c r="B522" s="7" t="s">
        <v>1893</v>
      </c>
      <c r="C522" s="7" t="s">
        <v>1894</v>
      </c>
      <c r="D522" s="7" t="s">
        <v>1905</v>
      </c>
      <c r="E522" s="8" t="s">
        <v>34</v>
      </c>
      <c r="F522" s="7" t="s">
        <v>1910</v>
      </c>
      <c r="G522" s="7" t="s">
        <v>1906</v>
      </c>
      <c r="H522" s="9">
        <f t="shared" si="49"/>
        <v>5</v>
      </c>
      <c r="I522" s="7" t="s">
        <v>1911</v>
      </c>
      <c r="J522" s="9">
        <f t="shared" si="50"/>
        <v>9</v>
      </c>
      <c r="K522" s="8" t="s">
        <v>64</v>
      </c>
      <c r="L522" s="8" t="s">
        <v>28</v>
      </c>
      <c r="M522" s="10">
        <v>-0.10540925533894598</v>
      </c>
      <c r="N522" s="10">
        <v>0.80054210742312626</v>
      </c>
      <c r="O522" s="11" t="str">
        <f t="shared" si="51"/>
        <v>不校正</v>
      </c>
      <c r="P522" s="8" t="s">
        <v>1912</v>
      </c>
      <c r="Q522" s="8" t="s">
        <v>159</v>
      </c>
      <c r="R522" s="8" t="s">
        <v>160</v>
      </c>
      <c r="S522" s="8"/>
    </row>
    <row r="523" spans="1:19" ht="36" customHeight="1">
      <c r="A523" s="7" t="s">
        <v>1913</v>
      </c>
      <c r="B523" s="7" t="s">
        <v>1893</v>
      </c>
      <c r="C523" s="7" t="s">
        <v>1914</v>
      </c>
      <c r="D523" s="7" t="s">
        <v>1895</v>
      </c>
      <c r="E523" s="8" t="s">
        <v>23</v>
      </c>
      <c r="F523" s="7" t="s">
        <v>1896</v>
      </c>
      <c r="G523" s="7" t="s">
        <v>1915</v>
      </c>
      <c r="H523" s="9">
        <f t="shared" si="49"/>
        <v>7</v>
      </c>
      <c r="I523" s="7" t="s">
        <v>1916</v>
      </c>
      <c r="J523" s="9">
        <f t="shared" si="50"/>
        <v>5</v>
      </c>
      <c r="K523" s="8" t="s">
        <v>64</v>
      </c>
      <c r="L523" s="8" t="s">
        <v>28</v>
      </c>
      <c r="M523" s="10">
        <v>-0.41147559989891175</v>
      </c>
      <c r="N523" s="10">
        <v>0.20966029073071279</v>
      </c>
      <c r="O523" s="11" t="str">
        <f t="shared" si="51"/>
        <v>不校正</v>
      </c>
      <c r="P523" s="8" t="s">
        <v>1917</v>
      </c>
      <c r="Q523" s="8" t="s">
        <v>159</v>
      </c>
      <c r="R523" s="8" t="s">
        <v>160</v>
      </c>
      <c r="S523" s="8"/>
    </row>
    <row r="524" spans="1:19" ht="60" customHeight="1">
      <c r="A524" s="7" t="s">
        <v>1918</v>
      </c>
      <c r="B524" s="7" t="s">
        <v>1893</v>
      </c>
      <c r="C524" s="7" t="s">
        <v>1914</v>
      </c>
      <c r="D524" s="7" t="s">
        <v>1895</v>
      </c>
      <c r="E524" s="8" t="s">
        <v>34</v>
      </c>
      <c r="F524" s="7" t="s">
        <v>1901</v>
      </c>
      <c r="G524" s="7" t="s">
        <v>1915</v>
      </c>
      <c r="H524" s="9">
        <f t="shared" si="49"/>
        <v>7</v>
      </c>
      <c r="I524" s="7" t="s">
        <v>1919</v>
      </c>
      <c r="J524" s="9">
        <f t="shared" si="50"/>
        <v>4</v>
      </c>
      <c r="K524" s="8" t="s">
        <v>64</v>
      </c>
      <c r="L524" s="8" t="s">
        <v>28</v>
      </c>
      <c r="M524" s="10">
        <v>-0.41147559989891175</v>
      </c>
      <c r="N524" s="10">
        <v>0.20966029073071279</v>
      </c>
      <c r="O524" s="11" t="str">
        <f t="shared" si="51"/>
        <v>不校正</v>
      </c>
      <c r="P524" s="8" t="s">
        <v>1920</v>
      </c>
      <c r="Q524" s="8" t="s">
        <v>159</v>
      </c>
      <c r="R524" s="8" t="s">
        <v>160</v>
      </c>
      <c r="S524" s="8"/>
    </row>
    <row r="525" spans="1:19" ht="36" customHeight="1">
      <c r="A525" s="7" t="s">
        <v>1921</v>
      </c>
      <c r="B525" s="7" t="s">
        <v>1893</v>
      </c>
      <c r="C525" s="7" t="s">
        <v>1914</v>
      </c>
      <c r="D525" s="7" t="s">
        <v>1905</v>
      </c>
      <c r="E525" s="8" t="s">
        <v>23</v>
      </c>
      <c r="F525" s="7" t="s">
        <v>1896</v>
      </c>
      <c r="G525" s="7" t="s">
        <v>725</v>
      </c>
      <c r="H525" s="9">
        <f t="shared" si="49"/>
        <v>7</v>
      </c>
      <c r="I525" s="7" t="s">
        <v>1922</v>
      </c>
      <c r="J525" s="9">
        <f t="shared" si="50"/>
        <v>5</v>
      </c>
      <c r="K525" s="8" t="s">
        <v>64</v>
      </c>
      <c r="L525" s="8" t="s">
        <v>28</v>
      </c>
      <c r="M525" s="20"/>
      <c r="N525" s="20"/>
      <c r="O525" s="21" t="s">
        <v>190</v>
      </c>
      <c r="P525" s="8" t="s">
        <v>1923</v>
      </c>
      <c r="Q525" s="8" t="s">
        <v>159</v>
      </c>
      <c r="R525" s="8" t="s">
        <v>160</v>
      </c>
      <c r="S525" s="8" t="s">
        <v>192</v>
      </c>
    </row>
    <row r="526" spans="1:19" ht="36" customHeight="1">
      <c r="A526" s="7" t="s">
        <v>1924</v>
      </c>
      <c r="B526" s="7" t="s">
        <v>1893</v>
      </c>
      <c r="C526" s="7" t="s">
        <v>1914</v>
      </c>
      <c r="D526" s="7" t="s">
        <v>1905</v>
      </c>
      <c r="E526" s="8" t="s">
        <v>34</v>
      </c>
      <c r="F526" s="7" t="s">
        <v>1910</v>
      </c>
      <c r="G526" s="7" t="s">
        <v>725</v>
      </c>
      <c r="H526" s="9">
        <f t="shared" si="49"/>
        <v>7</v>
      </c>
      <c r="I526" s="7" t="s">
        <v>1925</v>
      </c>
      <c r="J526" s="9">
        <f t="shared" si="50"/>
        <v>4</v>
      </c>
      <c r="K526" s="8" t="s">
        <v>64</v>
      </c>
      <c r="L526" s="8" t="s">
        <v>28</v>
      </c>
      <c r="M526" s="20"/>
      <c r="N526" s="20"/>
      <c r="O526" s="21" t="s">
        <v>190</v>
      </c>
      <c r="P526" s="8" t="s">
        <v>1926</v>
      </c>
      <c r="Q526" s="8" t="s">
        <v>159</v>
      </c>
      <c r="R526" s="8" t="s">
        <v>160</v>
      </c>
      <c r="S526" s="8" t="s">
        <v>192</v>
      </c>
    </row>
    <row r="527" spans="1:19" ht="36" customHeight="1">
      <c r="A527" s="7" t="s">
        <v>1927</v>
      </c>
      <c r="B527" s="7" t="s">
        <v>1893</v>
      </c>
      <c r="C527" s="7" t="s">
        <v>1928</v>
      </c>
      <c r="D527" s="7" t="s">
        <v>1895</v>
      </c>
      <c r="E527" s="8" t="s">
        <v>23</v>
      </c>
      <c r="F527" s="7" t="s">
        <v>1896</v>
      </c>
      <c r="G527" s="7" t="s">
        <v>1929</v>
      </c>
      <c r="H527" s="9">
        <f t="shared" si="49"/>
        <v>10</v>
      </c>
      <c r="I527" s="7" t="s">
        <v>1930</v>
      </c>
      <c r="J527" s="9">
        <f t="shared" si="50"/>
        <v>6</v>
      </c>
      <c r="K527" s="8" t="s">
        <v>64</v>
      </c>
      <c r="L527" s="8" t="s">
        <v>28</v>
      </c>
      <c r="M527" s="10">
        <v>-0.48890120703870477</v>
      </c>
      <c r="N527" s="10">
        <v>5.5572647602541422E-2</v>
      </c>
      <c r="O527" s="11" t="str">
        <f>IF(AND(N527&lt;0.05,OR(AND(L527="升高改善",M527&gt;0),AND(L527="降低改善",M527&lt;0))),"校正","不校正")</f>
        <v>不校正</v>
      </c>
      <c r="P527" s="8" t="s">
        <v>1931</v>
      </c>
      <c r="Q527" s="8" t="s">
        <v>159</v>
      </c>
      <c r="R527" s="8" t="s">
        <v>160</v>
      </c>
      <c r="S527" s="8"/>
    </row>
    <row r="528" spans="1:19" ht="60" customHeight="1">
      <c r="A528" s="7" t="s">
        <v>1932</v>
      </c>
      <c r="B528" s="7" t="s">
        <v>1893</v>
      </c>
      <c r="C528" s="7" t="s">
        <v>1928</v>
      </c>
      <c r="D528" s="7" t="s">
        <v>1895</v>
      </c>
      <c r="E528" s="8" t="s">
        <v>34</v>
      </c>
      <c r="F528" s="7" t="s">
        <v>1901</v>
      </c>
      <c r="G528" s="7" t="s">
        <v>1929</v>
      </c>
      <c r="H528" s="9">
        <f t="shared" si="49"/>
        <v>10</v>
      </c>
      <c r="I528" s="7" t="s">
        <v>1933</v>
      </c>
      <c r="J528" s="9">
        <f t="shared" si="50"/>
        <v>1</v>
      </c>
      <c r="K528" s="8" t="s">
        <v>64</v>
      </c>
      <c r="L528" s="8" t="s">
        <v>28</v>
      </c>
      <c r="M528" s="10">
        <v>-0.48890120703870477</v>
      </c>
      <c r="N528" s="10">
        <v>5.5572647602541422E-2</v>
      </c>
      <c r="O528" s="11" t="str">
        <f>IF(AND(N528&lt;0.05,OR(AND(L528="升高改善",M528&gt;0),AND(L528="降低改善",M528&lt;0))),"校正","不校正")</f>
        <v>不校正</v>
      </c>
      <c r="P528" s="8" t="s">
        <v>1934</v>
      </c>
      <c r="Q528" s="8" t="s">
        <v>159</v>
      </c>
      <c r="R528" s="8" t="s">
        <v>160</v>
      </c>
      <c r="S528" s="8"/>
    </row>
    <row r="529" spans="1:19" ht="36" customHeight="1">
      <c r="A529" s="7" t="s">
        <v>1935</v>
      </c>
      <c r="B529" s="7" t="s">
        <v>1893</v>
      </c>
      <c r="C529" s="7" t="s">
        <v>1928</v>
      </c>
      <c r="D529" s="7" t="s">
        <v>1905</v>
      </c>
      <c r="E529" s="8" t="s">
        <v>23</v>
      </c>
      <c r="F529" s="7" t="s">
        <v>1896</v>
      </c>
      <c r="G529" s="7" t="s">
        <v>1936</v>
      </c>
      <c r="H529" s="9">
        <f t="shared" si="49"/>
        <v>10</v>
      </c>
      <c r="I529" s="7" t="s">
        <v>1937</v>
      </c>
      <c r="J529" s="9">
        <f t="shared" si="50"/>
        <v>6</v>
      </c>
      <c r="K529" s="8" t="s">
        <v>64</v>
      </c>
      <c r="L529" s="8" t="s">
        <v>28</v>
      </c>
      <c r="M529" s="10">
        <v>-0.33855558338467212</v>
      </c>
      <c r="N529" s="10">
        <v>0.19236358878965359</v>
      </c>
      <c r="O529" s="11" t="str">
        <f>IF(AND(N529&lt;0.05,OR(AND(L529="升高改善",M529&gt;0),AND(L529="降低改善",M529&lt;0))),"校正","不校正")</f>
        <v>不校正</v>
      </c>
      <c r="P529" s="8" t="s">
        <v>1938</v>
      </c>
      <c r="Q529" s="8" t="s">
        <v>159</v>
      </c>
      <c r="R529" s="8" t="s">
        <v>160</v>
      </c>
      <c r="S529" s="8"/>
    </row>
    <row r="530" spans="1:19" ht="36" customHeight="1">
      <c r="A530" s="7" t="s">
        <v>1939</v>
      </c>
      <c r="B530" s="7" t="s">
        <v>1893</v>
      </c>
      <c r="C530" s="7" t="s">
        <v>1928</v>
      </c>
      <c r="D530" s="7" t="s">
        <v>1905</v>
      </c>
      <c r="E530" s="8" t="s">
        <v>34</v>
      </c>
      <c r="F530" s="7" t="s">
        <v>1910</v>
      </c>
      <c r="G530" s="7" t="s">
        <v>1936</v>
      </c>
      <c r="H530" s="9">
        <f t="shared" si="49"/>
        <v>10</v>
      </c>
      <c r="I530" s="7" t="s">
        <v>1940</v>
      </c>
      <c r="J530" s="9">
        <f t="shared" si="50"/>
        <v>1</v>
      </c>
      <c r="K530" s="8" t="s">
        <v>64</v>
      </c>
      <c r="L530" s="8" t="s">
        <v>28</v>
      </c>
      <c r="M530" s="10">
        <v>-0.33855558338467212</v>
      </c>
      <c r="N530" s="10">
        <v>0.19236358878965359</v>
      </c>
      <c r="O530" s="11" t="str">
        <f>IF(AND(N530&lt;0.05,OR(AND(L530="升高改善",M530&gt;0),AND(L530="降低改善",M530&lt;0))),"校正","不校正")</f>
        <v>不校正</v>
      </c>
      <c r="P530" s="8" t="s">
        <v>1941</v>
      </c>
      <c r="Q530" s="8" t="s">
        <v>159</v>
      </c>
      <c r="R530" s="8" t="s">
        <v>160</v>
      </c>
      <c r="S530" s="8"/>
    </row>
    <row r="531" spans="1:19" ht="48" customHeight="1">
      <c r="A531" s="12" t="s">
        <v>1942</v>
      </c>
      <c r="B531" s="12" t="s">
        <v>1943</v>
      </c>
      <c r="C531" s="12" t="s">
        <v>1944</v>
      </c>
      <c r="D531" s="12" t="s">
        <v>1945</v>
      </c>
      <c r="E531" s="13" t="s">
        <v>23</v>
      </c>
      <c r="F531" s="12" t="s">
        <v>1946</v>
      </c>
      <c r="G531" s="12" t="s">
        <v>1947</v>
      </c>
      <c r="H531" s="14">
        <f t="shared" si="49"/>
        <v>9</v>
      </c>
      <c r="I531" s="12" t="s">
        <v>1948</v>
      </c>
      <c r="J531" s="14">
        <f t="shared" si="50"/>
        <v>10</v>
      </c>
      <c r="K531" s="13" t="s">
        <v>64</v>
      </c>
      <c r="L531" s="13" t="s">
        <v>28</v>
      </c>
      <c r="M531" s="15"/>
      <c r="N531" s="15"/>
      <c r="O531" s="16" t="s">
        <v>65</v>
      </c>
      <c r="P531" s="13" t="s">
        <v>1949</v>
      </c>
      <c r="Q531" s="13" t="s">
        <v>159</v>
      </c>
      <c r="R531" s="13" t="s">
        <v>160</v>
      </c>
      <c r="S531" s="13" t="s">
        <v>1950</v>
      </c>
    </row>
    <row r="532" spans="1:19" ht="48" customHeight="1">
      <c r="A532" s="17" t="s">
        <v>1951</v>
      </c>
      <c r="B532" s="17" t="s">
        <v>1943</v>
      </c>
      <c r="C532" s="17" t="s">
        <v>708</v>
      </c>
      <c r="D532" s="17" t="s">
        <v>1945</v>
      </c>
      <c r="E532" s="18" t="s">
        <v>94</v>
      </c>
      <c r="F532" s="30" t="s">
        <v>1952</v>
      </c>
      <c r="G532" s="22"/>
      <c r="H532" s="23"/>
      <c r="I532" s="22"/>
      <c r="J532" s="23"/>
      <c r="K532" s="18" t="s">
        <v>64</v>
      </c>
      <c r="L532" s="18" t="s">
        <v>28</v>
      </c>
      <c r="M532" s="20"/>
      <c r="N532" s="20"/>
      <c r="O532" s="21"/>
      <c r="P532" s="18" t="s">
        <v>1953</v>
      </c>
      <c r="Q532" s="18" t="s">
        <v>159</v>
      </c>
      <c r="R532" s="24" t="s">
        <v>94</v>
      </c>
      <c r="S532" s="18" t="s">
        <v>1954</v>
      </c>
    </row>
    <row r="533" spans="1:19" ht="60" customHeight="1">
      <c r="A533" s="17" t="s">
        <v>1955</v>
      </c>
      <c r="B533" s="17" t="s">
        <v>1943</v>
      </c>
      <c r="C533" s="17" t="s">
        <v>1956</v>
      </c>
      <c r="D533" s="17" t="s">
        <v>1945</v>
      </c>
      <c r="E533" s="18" t="s">
        <v>94</v>
      </c>
      <c r="F533" s="30" t="s">
        <v>1952</v>
      </c>
      <c r="G533" s="22"/>
      <c r="H533" s="23"/>
      <c r="I533" s="22"/>
      <c r="J533" s="23"/>
      <c r="K533" s="18" t="s">
        <v>64</v>
      </c>
      <c r="L533" s="18" t="s">
        <v>28</v>
      </c>
      <c r="M533" s="20"/>
      <c r="N533" s="20"/>
      <c r="O533" s="21"/>
      <c r="P533" s="18" t="s">
        <v>1957</v>
      </c>
      <c r="Q533" s="18" t="s">
        <v>159</v>
      </c>
      <c r="R533" s="24" t="s">
        <v>94</v>
      </c>
      <c r="S533" s="18" t="s">
        <v>1958</v>
      </c>
    </row>
    <row r="534" spans="1:19" ht="48" customHeight="1">
      <c r="A534" s="17" t="s">
        <v>1959</v>
      </c>
      <c r="B534" s="17" t="s">
        <v>1943</v>
      </c>
      <c r="C534" s="17" t="s">
        <v>1960</v>
      </c>
      <c r="D534" s="17" t="s">
        <v>1945</v>
      </c>
      <c r="E534" s="18" t="s">
        <v>94</v>
      </c>
      <c r="F534" s="30" t="s">
        <v>1952</v>
      </c>
      <c r="G534" s="22"/>
      <c r="H534" s="23"/>
      <c r="I534" s="22"/>
      <c r="J534" s="23"/>
      <c r="K534" s="18" t="s">
        <v>64</v>
      </c>
      <c r="L534" s="18" t="s">
        <v>28</v>
      </c>
      <c r="M534" s="20"/>
      <c r="N534" s="20"/>
      <c r="O534" s="21"/>
      <c r="P534" s="18" t="s">
        <v>1961</v>
      </c>
      <c r="Q534" s="18" t="s">
        <v>159</v>
      </c>
      <c r="R534" s="24" t="s">
        <v>94</v>
      </c>
      <c r="S534" s="18" t="s">
        <v>1962</v>
      </c>
    </row>
    <row r="535" spans="1:19" ht="36" customHeight="1">
      <c r="A535" s="2" t="s">
        <v>1963</v>
      </c>
      <c r="B535" s="2" t="s">
        <v>1964</v>
      </c>
      <c r="C535" s="2" t="s">
        <v>1965</v>
      </c>
      <c r="D535" s="2" t="s">
        <v>349</v>
      </c>
      <c r="E535" s="3" t="s">
        <v>23</v>
      </c>
      <c r="F535" s="2" t="s">
        <v>1966</v>
      </c>
      <c r="G535" s="2" t="s">
        <v>1967</v>
      </c>
      <c r="H535" s="4">
        <f t="shared" ref="H535:H552" si="52">IF(LEN(G535)=0,"",IF(ISNUMBER(SEARCH(",",G535)),LEN(SUBSTITUTE(G535,",","xx"))-LEN(G535)+1,1))</f>
        <v>5</v>
      </c>
      <c r="I535" s="2" t="s">
        <v>1968</v>
      </c>
      <c r="J535" s="4">
        <f t="shared" ref="J535:J552" si="53">IF(LEN(I535)=0,"",IF(ISNUMBER(SEARCH(",",I535)),LEN(SUBSTITUTE(I535,",","xx"))-LEN(I535)+1,1))</f>
        <v>6</v>
      </c>
      <c r="K535" s="3" t="s">
        <v>64</v>
      </c>
      <c r="L535" s="3" t="s">
        <v>28</v>
      </c>
      <c r="M535" s="5">
        <v>-0.67082039324993692</v>
      </c>
      <c r="N535" s="5">
        <v>0.11718508719813807</v>
      </c>
      <c r="O535" s="6" t="str">
        <f>IF(AND(N535&lt;0.05,OR(AND(L535="升高改善",M535&gt;0),AND(L535="降低改善",M535&lt;0))),"校正","不校正")</f>
        <v>不校正</v>
      </c>
      <c r="P535" s="3" t="s">
        <v>1969</v>
      </c>
      <c r="Q535" s="3" t="s">
        <v>159</v>
      </c>
      <c r="R535" s="3" t="s">
        <v>160</v>
      </c>
      <c r="S535" s="3"/>
    </row>
    <row r="536" spans="1:19" ht="36" customHeight="1">
      <c r="A536" s="7" t="s">
        <v>1970</v>
      </c>
      <c r="B536" s="7" t="s">
        <v>1964</v>
      </c>
      <c r="C536" s="7" t="s">
        <v>1965</v>
      </c>
      <c r="D536" s="7" t="s">
        <v>349</v>
      </c>
      <c r="E536" s="8" t="s">
        <v>81</v>
      </c>
      <c r="F536" s="7" t="s">
        <v>82</v>
      </c>
      <c r="G536" s="7" t="s">
        <v>1967</v>
      </c>
      <c r="H536" s="9">
        <f t="shared" si="52"/>
        <v>5</v>
      </c>
      <c r="I536" s="7" t="s">
        <v>1971</v>
      </c>
      <c r="J536" s="9">
        <f t="shared" si="53"/>
        <v>4</v>
      </c>
      <c r="K536" s="8" t="s">
        <v>64</v>
      </c>
      <c r="L536" s="8" t="s">
        <v>28</v>
      </c>
      <c r="M536" s="10">
        <v>-0.67082039324993692</v>
      </c>
      <c r="N536" s="10">
        <v>0.11718508719813807</v>
      </c>
      <c r="O536" s="11" t="str">
        <f>IF(AND(N536&lt;0.05,OR(AND(L536="升高改善",M536&gt;0),AND(L536="降低改善",M536&lt;0))),"校正","不校正")</f>
        <v>不校正</v>
      </c>
      <c r="P536" s="8" t="s">
        <v>1969</v>
      </c>
      <c r="Q536" s="8" t="s">
        <v>159</v>
      </c>
      <c r="R536" s="8" t="s">
        <v>160</v>
      </c>
      <c r="S536" s="8"/>
    </row>
    <row r="537" spans="1:19" ht="36" customHeight="1">
      <c r="A537" s="7" t="s">
        <v>1972</v>
      </c>
      <c r="B537" s="7" t="s">
        <v>1964</v>
      </c>
      <c r="C537" s="7" t="s">
        <v>1973</v>
      </c>
      <c r="D537" s="7" t="s">
        <v>349</v>
      </c>
      <c r="E537" s="8" t="s">
        <v>23</v>
      </c>
      <c r="F537" s="7" t="s">
        <v>1966</v>
      </c>
      <c r="G537" s="7" t="s">
        <v>1974</v>
      </c>
      <c r="H537" s="9">
        <f t="shared" si="52"/>
        <v>6</v>
      </c>
      <c r="I537" s="7" t="s">
        <v>1975</v>
      </c>
      <c r="J537" s="9">
        <f t="shared" si="53"/>
        <v>6</v>
      </c>
      <c r="K537" s="8" t="s">
        <v>64</v>
      </c>
      <c r="L537" s="8" t="s">
        <v>28</v>
      </c>
      <c r="M537" s="10">
        <v>-0.57735026918962573</v>
      </c>
      <c r="N537" s="10">
        <v>0.14323490752466969</v>
      </c>
      <c r="O537" s="11" t="str">
        <f>IF(AND(N537&lt;0.05,OR(AND(L537="升高改善",M537&gt;0),AND(L537="降低改善",M537&lt;0))),"校正","不校正")</f>
        <v>不校正</v>
      </c>
      <c r="P537" s="8" t="s">
        <v>1976</v>
      </c>
      <c r="Q537" s="8" t="s">
        <v>159</v>
      </c>
      <c r="R537" s="8" t="s">
        <v>160</v>
      </c>
      <c r="S537" s="8"/>
    </row>
    <row r="538" spans="1:19" ht="36" customHeight="1">
      <c r="A538" s="7" t="s">
        <v>1977</v>
      </c>
      <c r="B538" s="7" t="s">
        <v>1964</v>
      </c>
      <c r="C538" s="7" t="s">
        <v>1973</v>
      </c>
      <c r="D538" s="7" t="s">
        <v>349</v>
      </c>
      <c r="E538" s="8" t="s">
        <v>81</v>
      </c>
      <c r="F538" s="7" t="s">
        <v>82</v>
      </c>
      <c r="G538" s="7" t="s">
        <v>1974</v>
      </c>
      <c r="H538" s="9">
        <f t="shared" si="52"/>
        <v>6</v>
      </c>
      <c r="I538" s="7" t="s">
        <v>1978</v>
      </c>
      <c r="J538" s="9">
        <f t="shared" si="53"/>
        <v>3</v>
      </c>
      <c r="K538" s="8" t="s">
        <v>64</v>
      </c>
      <c r="L538" s="8" t="s">
        <v>28</v>
      </c>
      <c r="M538" s="10">
        <v>-0.57735026918962573</v>
      </c>
      <c r="N538" s="10">
        <v>0.14323490752466969</v>
      </c>
      <c r="O538" s="11" t="str">
        <f>IF(AND(N538&lt;0.05,OR(AND(L538="升高改善",M538&gt;0),AND(L538="降低改善",M538&lt;0))),"校正","不校正")</f>
        <v>不校正</v>
      </c>
      <c r="P538" s="8" t="s">
        <v>1976</v>
      </c>
      <c r="Q538" s="8" t="s">
        <v>159</v>
      </c>
      <c r="R538" s="8" t="s">
        <v>160</v>
      </c>
      <c r="S538" s="8"/>
    </row>
    <row r="539" spans="1:19" ht="36" customHeight="1">
      <c r="A539" s="7" t="s">
        <v>1979</v>
      </c>
      <c r="B539" s="7" t="s">
        <v>1964</v>
      </c>
      <c r="C539" s="7" t="s">
        <v>1980</v>
      </c>
      <c r="D539" s="7" t="s">
        <v>349</v>
      </c>
      <c r="E539" s="8" t="s">
        <v>23</v>
      </c>
      <c r="F539" s="7" t="s">
        <v>1966</v>
      </c>
      <c r="G539" s="7" t="s">
        <v>335</v>
      </c>
      <c r="H539" s="9">
        <f t="shared" si="52"/>
        <v>4</v>
      </c>
      <c r="I539" s="7" t="s">
        <v>1981</v>
      </c>
      <c r="J539" s="9">
        <f t="shared" si="53"/>
        <v>4</v>
      </c>
      <c r="K539" s="8" t="s">
        <v>64</v>
      </c>
      <c r="L539" s="8" t="s">
        <v>28</v>
      </c>
      <c r="M539" s="20"/>
      <c r="N539" s="20"/>
      <c r="O539" s="21" t="s">
        <v>190</v>
      </c>
      <c r="P539" s="8" t="s">
        <v>1982</v>
      </c>
      <c r="Q539" s="8" t="s">
        <v>159</v>
      </c>
      <c r="R539" s="8" t="s">
        <v>160</v>
      </c>
      <c r="S539" s="8" t="s">
        <v>192</v>
      </c>
    </row>
    <row r="540" spans="1:19" ht="36" customHeight="1">
      <c r="A540" s="7" t="s">
        <v>1983</v>
      </c>
      <c r="B540" s="7" t="s">
        <v>1964</v>
      </c>
      <c r="C540" s="7" t="s">
        <v>1980</v>
      </c>
      <c r="D540" s="7" t="s">
        <v>349</v>
      </c>
      <c r="E540" s="8" t="s">
        <v>81</v>
      </c>
      <c r="F540" s="7" t="s">
        <v>82</v>
      </c>
      <c r="G540" s="7" t="s">
        <v>335</v>
      </c>
      <c r="H540" s="9">
        <f t="shared" si="52"/>
        <v>4</v>
      </c>
      <c r="I540" s="7" t="s">
        <v>1984</v>
      </c>
      <c r="J540" s="9">
        <f t="shared" si="53"/>
        <v>2</v>
      </c>
      <c r="K540" s="8" t="s">
        <v>64</v>
      </c>
      <c r="L540" s="8" t="s">
        <v>28</v>
      </c>
      <c r="M540" s="20"/>
      <c r="N540" s="20"/>
      <c r="O540" s="21" t="s">
        <v>190</v>
      </c>
      <c r="P540" s="8" t="s">
        <v>1982</v>
      </c>
      <c r="Q540" s="8" t="s">
        <v>159</v>
      </c>
      <c r="R540" s="8" t="s">
        <v>160</v>
      </c>
      <c r="S540" s="8" t="s">
        <v>192</v>
      </c>
    </row>
    <row r="541" spans="1:19" ht="60" customHeight="1">
      <c r="A541" s="7" t="s">
        <v>1985</v>
      </c>
      <c r="B541" s="7" t="s">
        <v>1964</v>
      </c>
      <c r="C541" s="7" t="s">
        <v>1965</v>
      </c>
      <c r="D541" s="7" t="s">
        <v>1986</v>
      </c>
      <c r="E541" s="8" t="s">
        <v>23</v>
      </c>
      <c r="F541" s="7" t="s">
        <v>1987</v>
      </c>
      <c r="G541" s="7" t="s">
        <v>1988</v>
      </c>
      <c r="H541" s="9">
        <f t="shared" si="52"/>
        <v>5</v>
      </c>
      <c r="I541" s="7" t="s">
        <v>1989</v>
      </c>
      <c r="J541" s="9">
        <f t="shared" si="53"/>
        <v>6</v>
      </c>
      <c r="K541" s="8" t="s">
        <v>64</v>
      </c>
      <c r="L541" s="8" t="s">
        <v>28</v>
      </c>
      <c r="M541" s="10">
        <v>-0.10540925533894598</v>
      </c>
      <c r="N541" s="10">
        <v>0.80054210742312626</v>
      </c>
      <c r="O541" s="11" t="str">
        <f t="shared" ref="O541:O552" si="54">IF(AND(N541&lt;0.05,OR(AND(L541="升高改善",M541&gt;0),AND(L541="降低改善",M541&lt;0))),"校正","不校正")</f>
        <v>不校正</v>
      </c>
      <c r="P541" s="8" t="s">
        <v>1990</v>
      </c>
      <c r="Q541" s="8" t="s">
        <v>159</v>
      </c>
      <c r="R541" s="8" t="s">
        <v>160</v>
      </c>
      <c r="S541" s="8"/>
    </row>
    <row r="542" spans="1:19" ht="60" customHeight="1">
      <c r="A542" s="7" t="s">
        <v>1991</v>
      </c>
      <c r="B542" s="7" t="s">
        <v>1964</v>
      </c>
      <c r="C542" s="7" t="s">
        <v>1965</v>
      </c>
      <c r="D542" s="7" t="s">
        <v>1986</v>
      </c>
      <c r="E542" s="8" t="s">
        <v>81</v>
      </c>
      <c r="F542" s="7" t="s">
        <v>82</v>
      </c>
      <c r="G542" s="7" t="s">
        <v>1988</v>
      </c>
      <c r="H542" s="9">
        <f t="shared" si="52"/>
        <v>5</v>
      </c>
      <c r="I542" s="7" t="s">
        <v>1992</v>
      </c>
      <c r="J542" s="9">
        <f t="shared" si="53"/>
        <v>4</v>
      </c>
      <c r="K542" s="8" t="s">
        <v>64</v>
      </c>
      <c r="L542" s="8" t="s">
        <v>28</v>
      </c>
      <c r="M542" s="10">
        <v>-0.10540925533894598</v>
      </c>
      <c r="N542" s="10">
        <v>0.80054210742312626</v>
      </c>
      <c r="O542" s="11" t="str">
        <f t="shared" si="54"/>
        <v>不校正</v>
      </c>
      <c r="P542" s="8" t="s">
        <v>1990</v>
      </c>
      <c r="Q542" s="8" t="s">
        <v>159</v>
      </c>
      <c r="R542" s="8" t="s">
        <v>160</v>
      </c>
      <c r="S542" s="8"/>
    </row>
    <row r="543" spans="1:19" ht="48" customHeight="1">
      <c r="A543" s="7" t="s">
        <v>1993</v>
      </c>
      <c r="B543" s="7" t="s">
        <v>1964</v>
      </c>
      <c r="C543" s="7" t="s">
        <v>1965</v>
      </c>
      <c r="D543" s="7" t="s">
        <v>1994</v>
      </c>
      <c r="E543" s="8" t="s">
        <v>23</v>
      </c>
      <c r="F543" s="7" t="s">
        <v>1987</v>
      </c>
      <c r="G543" s="7" t="s">
        <v>1995</v>
      </c>
      <c r="H543" s="9">
        <f t="shared" si="52"/>
        <v>5</v>
      </c>
      <c r="I543" s="7" t="s">
        <v>1996</v>
      </c>
      <c r="J543" s="9">
        <f t="shared" si="53"/>
        <v>6</v>
      </c>
      <c r="K543" s="8" t="s">
        <v>64</v>
      </c>
      <c r="L543" s="8" t="s">
        <v>101</v>
      </c>
      <c r="M543" s="10">
        <v>-0.22360679774997896</v>
      </c>
      <c r="N543" s="10">
        <v>0.60150813444058993</v>
      </c>
      <c r="O543" s="11" t="str">
        <f t="shared" si="54"/>
        <v>不校正</v>
      </c>
      <c r="P543" s="8" t="s">
        <v>1997</v>
      </c>
      <c r="Q543" s="8" t="s">
        <v>159</v>
      </c>
      <c r="R543" s="8" t="s">
        <v>160</v>
      </c>
      <c r="S543" s="8"/>
    </row>
    <row r="544" spans="1:19" ht="48" customHeight="1">
      <c r="A544" s="7" t="s">
        <v>1998</v>
      </c>
      <c r="B544" s="7" t="s">
        <v>1964</v>
      </c>
      <c r="C544" s="7" t="s">
        <v>1965</v>
      </c>
      <c r="D544" s="7" t="s">
        <v>1994</v>
      </c>
      <c r="E544" s="8" t="s">
        <v>81</v>
      </c>
      <c r="F544" s="7" t="s">
        <v>82</v>
      </c>
      <c r="G544" s="7" t="s">
        <v>1995</v>
      </c>
      <c r="H544" s="9">
        <f t="shared" si="52"/>
        <v>5</v>
      </c>
      <c r="I544" s="7" t="s">
        <v>1999</v>
      </c>
      <c r="J544" s="9">
        <f t="shared" si="53"/>
        <v>4</v>
      </c>
      <c r="K544" s="8" t="s">
        <v>64</v>
      </c>
      <c r="L544" s="8" t="s">
        <v>101</v>
      </c>
      <c r="M544" s="10">
        <v>-0.22360679774997896</v>
      </c>
      <c r="N544" s="10">
        <v>0.60150813444058993</v>
      </c>
      <c r="O544" s="11" t="str">
        <f t="shared" si="54"/>
        <v>不校正</v>
      </c>
      <c r="P544" s="8" t="s">
        <v>1997</v>
      </c>
      <c r="Q544" s="8" t="s">
        <v>159</v>
      </c>
      <c r="R544" s="8" t="s">
        <v>160</v>
      </c>
      <c r="S544" s="8"/>
    </row>
    <row r="545" spans="1:19" ht="60" customHeight="1">
      <c r="A545" s="7" t="s">
        <v>2000</v>
      </c>
      <c r="B545" s="7" t="s">
        <v>1964</v>
      </c>
      <c r="C545" s="7" t="s">
        <v>1973</v>
      </c>
      <c r="D545" s="7" t="s">
        <v>1986</v>
      </c>
      <c r="E545" s="8" t="s">
        <v>23</v>
      </c>
      <c r="F545" s="7" t="s">
        <v>1987</v>
      </c>
      <c r="G545" s="7" t="s">
        <v>2001</v>
      </c>
      <c r="H545" s="9">
        <f t="shared" si="52"/>
        <v>6</v>
      </c>
      <c r="I545" s="7" t="s">
        <v>2002</v>
      </c>
      <c r="J545" s="9">
        <f t="shared" si="53"/>
        <v>6</v>
      </c>
      <c r="K545" s="8" t="s">
        <v>64</v>
      </c>
      <c r="L545" s="8" t="s">
        <v>28</v>
      </c>
      <c r="M545" s="10">
        <v>-0.54772255750516607</v>
      </c>
      <c r="N545" s="10">
        <v>0.16491482255330137</v>
      </c>
      <c r="O545" s="11" t="str">
        <f t="shared" si="54"/>
        <v>不校正</v>
      </c>
      <c r="P545" s="8" t="s">
        <v>2003</v>
      </c>
      <c r="Q545" s="8" t="s">
        <v>159</v>
      </c>
      <c r="R545" s="8" t="s">
        <v>160</v>
      </c>
      <c r="S545" s="8"/>
    </row>
    <row r="546" spans="1:19" ht="60" customHeight="1">
      <c r="A546" s="7" t="s">
        <v>2004</v>
      </c>
      <c r="B546" s="7" t="s">
        <v>1964</v>
      </c>
      <c r="C546" s="7" t="s">
        <v>1973</v>
      </c>
      <c r="D546" s="7" t="s">
        <v>1986</v>
      </c>
      <c r="E546" s="8" t="s">
        <v>81</v>
      </c>
      <c r="F546" s="7" t="s">
        <v>82</v>
      </c>
      <c r="G546" s="7" t="s">
        <v>2001</v>
      </c>
      <c r="H546" s="9">
        <f t="shared" si="52"/>
        <v>6</v>
      </c>
      <c r="I546" s="7" t="s">
        <v>2005</v>
      </c>
      <c r="J546" s="9">
        <f t="shared" si="53"/>
        <v>3</v>
      </c>
      <c r="K546" s="8" t="s">
        <v>64</v>
      </c>
      <c r="L546" s="8" t="s">
        <v>28</v>
      </c>
      <c r="M546" s="10">
        <v>-0.54772255750516607</v>
      </c>
      <c r="N546" s="10">
        <v>0.16491482255330137</v>
      </c>
      <c r="O546" s="11" t="str">
        <f t="shared" si="54"/>
        <v>不校正</v>
      </c>
      <c r="P546" s="8" t="s">
        <v>2003</v>
      </c>
      <c r="Q546" s="8" t="s">
        <v>159</v>
      </c>
      <c r="R546" s="8" t="s">
        <v>160</v>
      </c>
      <c r="S546" s="8"/>
    </row>
    <row r="547" spans="1:19" ht="48" customHeight="1">
      <c r="A547" s="7" t="s">
        <v>2006</v>
      </c>
      <c r="B547" s="7" t="s">
        <v>1964</v>
      </c>
      <c r="C547" s="7" t="s">
        <v>1973</v>
      </c>
      <c r="D547" s="7" t="s">
        <v>1994</v>
      </c>
      <c r="E547" s="8" t="s">
        <v>23</v>
      </c>
      <c r="F547" s="7" t="s">
        <v>1987</v>
      </c>
      <c r="G547" s="7" t="s">
        <v>2007</v>
      </c>
      <c r="H547" s="9">
        <f t="shared" si="52"/>
        <v>6</v>
      </c>
      <c r="I547" s="7" t="s">
        <v>2008</v>
      </c>
      <c r="J547" s="9">
        <f t="shared" si="53"/>
        <v>6</v>
      </c>
      <c r="K547" s="8" t="s">
        <v>64</v>
      </c>
      <c r="L547" s="8" t="s">
        <v>101</v>
      </c>
      <c r="M547" s="10">
        <v>-0.27602622373694169</v>
      </c>
      <c r="N547" s="10">
        <v>0.44421673013860657</v>
      </c>
      <c r="O547" s="11" t="str">
        <f t="shared" si="54"/>
        <v>不校正</v>
      </c>
      <c r="P547" s="8" t="s">
        <v>2009</v>
      </c>
      <c r="Q547" s="8" t="s">
        <v>159</v>
      </c>
      <c r="R547" s="8" t="s">
        <v>160</v>
      </c>
      <c r="S547" s="8"/>
    </row>
    <row r="548" spans="1:19" ht="48" customHeight="1">
      <c r="A548" s="7" t="s">
        <v>2010</v>
      </c>
      <c r="B548" s="7" t="s">
        <v>1964</v>
      </c>
      <c r="C548" s="7" t="s">
        <v>1973</v>
      </c>
      <c r="D548" s="7" t="s">
        <v>1994</v>
      </c>
      <c r="E548" s="8" t="s">
        <v>81</v>
      </c>
      <c r="F548" s="7" t="s">
        <v>82</v>
      </c>
      <c r="G548" s="7" t="s">
        <v>2007</v>
      </c>
      <c r="H548" s="9">
        <f t="shared" si="52"/>
        <v>6</v>
      </c>
      <c r="I548" s="7" t="s">
        <v>2011</v>
      </c>
      <c r="J548" s="9">
        <f t="shared" si="53"/>
        <v>3</v>
      </c>
      <c r="K548" s="8" t="s">
        <v>64</v>
      </c>
      <c r="L548" s="8" t="s">
        <v>101</v>
      </c>
      <c r="M548" s="10">
        <v>-0.27602622373694169</v>
      </c>
      <c r="N548" s="10">
        <v>0.44421673013860657</v>
      </c>
      <c r="O548" s="11" t="str">
        <f t="shared" si="54"/>
        <v>不校正</v>
      </c>
      <c r="P548" s="8" t="s">
        <v>2009</v>
      </c>
      <c r="Q548" s="8" t="s">
        <v>159</v>
      </c>
      <c r="R548" s="8" t="s">
        <v>160</v>
      </c>
      <c r="S548" s="8"/>
    </row>
    <row r="549" spans="1:19" ht="60" customHeight="1">
      <c r="A549" s="7" t="s">
        <v>2012</v>
      </c>
      <c r="B549" s="7" t="s">
        <v>1964</v>
      </c>
      <c r="C549" s="7" t="s">
        <v>1980</v>
      </c>
      <c r="D549" s="7" t="s">
        <v>1986</v>
      </c>
      <c r="E549" s="8" t="s">
        <v>23</v>
      </c>
      <c r="F549" s="7" t="s">
        <v>1987</v>
      </c>
      <c r="G549" s="7" t="s">
        <v>2013</v>
      </c>
      <c r="H549" s="9">
        <f t="shared" si="52"/>
        <v>4</v>
      </c>
      <c r="I549" s="7" t="s">
        <v>2014</v>
      </c>
      <c r="J549" s="9">
        <f t="shared" si="53"/>
        <v>4</v>
      </c>
      <c r="K549" s="8" t="s">
        <v>64</v>
      </c>
      <c r="L549" s="8" t="s">
        <v>28</v>
      </c>
      <c r="M549" s="10">
        <v>0.33333333333333331</v>
      </c>
      <c r="N549" s="10">
        <v>0.49690584756476791</v>
      </c>
      <c r="O549" s="11" t="str">
        <f t="shared" si="54"/>
        <v>不校正</v>
      </c>
      <c r="P549" s="8" t="s">
        <v>2015</v>
      </c>
      <c r="Q549" s="8" t="s">
        <v>159</v>
      </c>
      <c r="R549" s="8" t="s">
        <v>160</v>
      </c>
      <c r="S549" s="8"/>
    </row>
    <row r="550" spans="1:19" ht="60" customHeight="1">
      <c r="A550" s="7" t="s">
        <v>2016</v>
      </c>
      <c r="B550" s="7" t="s">
        <v>1964</v>
      </c>
      <c r="C550" s="7" t="s">
        <v>1980</v>
      </c>
      <c r="D550" s="7" t="s">
        <v>1986</v>
      </c>
      <c r="E550" s="8" t="s">
        <v>81</v>
      </c>
      <c r="F550" s="7" t="s">
        <v>82</v>
      </c>
      <c r="G550" s="7" t="s">
        <v>2013</v>
      </c>
      <c r="H550" s="9">
        <f t="shared" si="52"/>
        <v>4</v>
      </c>
      <c r="I550" s="7" t="s">
        <v>2017</v>
      </c>
      <c r="J550" s="9">
        <f t="shared" si="53"/>
        <v>2</v>
      </c>
      <c r="K550" s="8" t="s">
        <v>64</v>
      </c>
      <c r="L550" s="8" t="s">
        <v>28</v>
      </c>
      <c r="M550" s="10">
        <v>0.33333333333333331</v>
      </c>
      <c r="N550" s="10">
        <v>0.49690584756476791</v>
      </c>
      <c r="O550" s="11" t="str">
        <f t="shared" si="54"/>
        <v>不校正</v>
      </c>
      <c r="P550" s="8" t="s">
        <v>2015</v>
      </c>
      <c r="Q550" s="8" t="s">
        <v>159</v>
      </c>
      <c r="R550" s="8" t="s">
        <v>160</v>
      </c>
      <c r="S550" s="8"/>
    </row>
    <row r="551" spans="1:19" ht="48" customHeight="1">
      <c r="A551" s="7" t="s">
        <v>2018</v>
      </c>
      <c r="B551" s="7" t="s">
        <v>1964</v>
      </c>
      <c r="C551" s="7" t="s">
        <v>1980</v>
      </c>
      <c r="D551" s="7" t="s">
        <v>1994</v>
      </c>
      <c r="E551" s="8" t="s">
        <v>23</v>
      </c>
      <c r="F551" s="7" t="s">
        <v>1987</v>
      </c>
      <c r="G551" s="7" t="s">
        <v>2019</v>
      </c>
      <c r="H551" s="9">
        <f t="shared" si="52"/>
        <v>3</v>
      </c>
      <c r="I551" s="7" t="s">
        <v>2020</v>
      </c>
      <c r="J551" s="9">
        <f t="shared" si="53"/>
        <v>4</v>
      </c>
      <c r="K551" s="8" t="s">
        <v>64</v>
      </c>
      <c r="L551" s="8" t="s">
        <v>101</v>
      </c>
      <c r="M551" s="10">
        <v>0.81649658092772615</v>
      </c>
      <c r="N551" s="10">
        <v>0.22067136191984676</v>
      </c>
      <c r="O551" s="11" t="str">
        <f t="shared" si="54"/>
        <v>不校正</v>
      </c>
      <c r="P551" s="8" t="s">
        <v>2021</v>
      </c>
      <c r="Q551" s="8" t="s">
        <v>159</v>
      </c>
      <c r="R551" s="8" t="s">
        <v>160</v>
      </c>
      <c r="S551" s="8"/>
    </row>
    <row r="552" spans="1:19" ht="48" customHeight="1">
      <c r="A552" s="7" t="s">
        <v>2022</v>
      </c>
      <c r="B552" s="7" t="s">
        <v>1964</v>
      </c>
      <c r="C552" s="7" t="s">
        <v>1980</v>
      </c>
      <c r="D552" s="7" t="s">
        <v>1994</v>
      </c>
      <c r="E552" s="8" t="s">
        <v>81</v>
      </c>
      <c r="F552" s="7" t="s">
        <v>82</v>
      </c>
      <c r="G552" s="7" t="s">
        <v>2019</v>
      </c>
      <c r="H552" s="9">
        <f t="shared" si="52"/>
        <v>3</v>
      </c>
      <c r="I552" s="7" t="s">
        <v>2023</v>
      </c>
      <c r="J552" s="9">
        <f t="shared" si="53"/>
        <v>2</v>
      </c>
      <c r="K552" s="8" t="s">
        <v>64</v>
      </c>
      <c r="L552" s="8" t="s">
        <v>101</v>
      </c>
      <c r="M552" s="10">
        <v>0.81649658092772615</v>
      </c>
      <c r="N552" s="10">
        <v>0.22067136191984676</v>
      </c>
      <c r="O552" s="11" t="str">
        <f t="shared" si="54"/>
        <v>不校正</v>
      </c>
      <c r="P552" s="8" t="s">
        <v>2021</v>
      </c>
      <c r="Q552" s="8" t="s">
        <v>159</v>
      </c>
      <c r="R552" s="8" t="s">
        <v>160</v>
      </c>
      <c r="S552" s="8"/>
    </row>
    <row r="553" spans="1:19" ht="36" customHeight="1">
      <c r="A553" s="12" t="s">
        <v>2024</v>
      </c>
      <c r="B553" s="12" t="s">
        <v>2025</v>
      </c>
      <c r="C553" s="12" t="s">
        <v>594</v>
      </c>
      <c r="D553" s="12" t="s">
        <v>2026</v>
      </c>
      <c r="E553" s="13" t="s">
        <v>23</v>
      </c>
      <c r="F553" s="12" t="s">
        <v>2027</v>
      </c>
      <c r="G553" s="33"/>
      <c r="H553" s="34"/>
      <c r="I553" s="33"/>
      <c r="J553" s="34"/>
      <c r="K553" s="13" t="s">
        <v>1144</v>
      </c>
      <c r="L553" s="13" t="s">
        <v>28</v>
      </c>
      <c r="M553" s="15"/>
      <c r="N553" s="15"/>
      <c r="O553" s="16"/>
      <c r="P553" s="13" t="s">
        <v>2028</v>
      </c>
      <c r="Q553" s="13" t="s">
        <v>159</v>
      </c>
      <c r="R553" s="35" t="s">
        <v>94</v>
      </c>
      <c r="S553" s="13" t="s">
        <v>2029</v>
      </c>
    </row>
    <row r="554" spans="1:19" ht="36" customHeight="1">
      <c r="A554" s="17" t="s">
        <v>2030</v>
      </c>
      <c r="B554" s="17" t="s">
        <v>2025</v>
      </c>
      <c r="C554" s="17" t="s">
        <v>2031</v>
      </c>
      <c r="D554" s="17" t="s">
        <v>2026</v>
      </c>
      <c r="E554" s="18" t="s">
        <v>23</v>
      </c>
      <c r="F554" s="17" t="s">
        <v>2027</v>
      </c>
      <c r="G554" s="22"/>
      <c r="H554" s="23"/>
      <c r="I554" s="22"/>
      <c r="J554" s="23"/>
      <c r="K554" s="18" t="s">
        <v>1144</v>
      </c>
      <c r="L554" s="18" t="s">
        <v>28</v>
      </c>
      <c r="M554" s="20"/>
      <c r="N554" s="20"/>
      <c r="O554" s="21"/>
      <c r="P554" s="18" t="s">
        <v>2032</v>
      </c>
      <c r="Q554" s="18" t="s">
        <v>159</v>
      </c>
      <c r="R554" s="24" t="s">
        <v>94</v>
      </c>
      <c r="S554" s="18" t="s">
        <v>2029</v>
      </c>
    </row>
    <row r="555" spans="1:19" ht="36" customHeight="1">
      <c r="A555" s="17" t="s">
        <v>2033</v>
      </c>
      <c r="B555" s="17" t="s">
        <v>2025</v>
      </c>
      <c r="C555" s="17" t="s">
        <v>2034</v>
      </c>
      <c r="D555" s="17" t="s">
        <v>2026</v>
      </c>
      <c r="E555" s="18" t="s">
        <v>23</v>
      </c>
      <c r="F555" s="17" t="s">
        <v>2027</v>
      </c>
      <c r="G555" s="22"/>
      <c r="H555" s="23"/>
      <c r="I555" s="22"/>
      <c r="J555" s="23"/>
      <c r="K555" s="18" t="s">
        <v>1144</v>
      </c>
      <c r="L555" s="18" t="s">
        <v>28</v>
      </c>
      <c r="M555" s="20"/>
      <c r="N555" s="20"/>
      <c r="O555" s="21"/>
      <c r="P555" s="18" t="s">
        <v>2035</v>
      </c>
      <c r="Q555" s="18" t="s">
        <v>159</v>
      </c>
      <c r="R555" s="24" t="s">
        <v>94</v>
      </c>
      <c r="S555" s="18" t="s">
        <v>2036</v>
      </c>
    </row>
    <row r="556" spans="1:19" ht="36" customHeight="1">
      <c r="A556" s="2" t="s">
        <v>2037</v>
      </c>
      <c r="B556" s="2" t="s">
        <v>2038</v>
      </c>
      <c r="C556" s="2" t="s">
        <v>2039</v>
      </c>
      <c r="D556" s="2" t="s">
        <v>2040</v>
      </c>
      <c r="E556" s="3" t="s">
        <v>23</v>
      </c>
      <c r="F556" s="2" t="s">
        <v>2041</v>
      </c>
      <c r="G556" s="2" t="s">
        <v>2042</v>
      </c>
      <c r="H556" s="4">
        <f>IF(LEN(G556)=0,"",IF(ISNUMBER(SEARCH(",",G556)),LEN(SUBSTITUTE(G556,",","xx"))-LEN(G556)+1,1))</f>
        <v>4</v>
      </c>
      <c r="I556" s="2" t="s">
        <v>2043</v>
      </c>
      <c r="J556" s="4">
        <f>IF(LEN(I556)=0,"",IF(ISNUMBER(SEARCH(",",I556)),LEN(SUBSTITUTE(I556,",","xx"))-LEN(I556)+1,1))</f>
        <v>12</v>
      </c>
      <c r="K556" s="3" t="s">
        <v>64</v>
      </c>
      <c r="L556" s="3" t="s">
        <v>101</v>
      </c>
      <c r="M556" s="5">
        <v>1</v>
      </c>
      <c r="N556" s="5">
        <v>4.154006700988519E-2</v>
      </c>
      <c r="O556" s="6" t="str">
        <f>IF(AND(N556&lt;0.05,OR(AND(L556="升高改善",M556&gt;0),AND(L556="降低改善",M556&lt;0))),"校正","不校正")</f>
        <v>不校正</v>
      </c>
      <c r="P556" s="3" t="s">
        <v>2044</v>
      </c>
      <c r="Q556" s="3" t="s">
        <v>159</v>
      </c>
      <c r="R556" s="3" t="s">
        <v>160</v>
      </c>
      <c r="S556" s="3"/>
    </row>
    <row r="557" spans="1:19" ht="36" customHeight="1">
      <c r="A557" s="7" t="s">
        <v>2045</v>
      </c>
      <c r="B557" s="7" t="s">
        <v>2038</v>
      </c>
      <c r="C557" s="7" t="s">
        <v>2046</v>
      </c>
      <c r="D557" s="7" t="s">
        <v>2040</v>
      </c>
      <c r="E557" s="8" t="s">
        <v>23</v>
      </c>
      <c r="F557" s="7" t="s">
        <v>2041</v>
      </c>
      <c r="G557" s="7" t="s">
        <v>2047</v>
      </c>
      <c r="H557" s="9">
        <f>IF(LEN(G557)=0,"",IF(ISNUMBER(SEARCH(",",G557)),LEN(SUBSTITUTE(G557,",","xx"))-LEN(G557)+1,1))</f>
        <v>8</v>
      </c>
      <c r="I557" s="7" t="s">
        <v>2048</v>
      </c>
      <c r="J557" s="9">
        <f>IF(LEN(I557)=0,"",IF(ISNUMBER(SEARCH(",",I557)),LEN(SUBSTITUTE(I557,",","xx"))-LEN(I557)+1,1))</f>
        <v>10</v>
      </c>
      <c r="K557" s="8" t="s">
        <v>64</v>
      </c>
      <c r="L557" s="8" t="s">
        <v>101</v>
      </c>
      <c r="M557" s="10">
        <v>0.5</v>
      </c>
      <c r="N557" s="10">
        <v>8.3264516663550364E-2</v>
      </c>
      <c r="O557" s="11" t="str">
        <f>IF(AND(N557&lt;0.05,OR(AND(L557="升高改善",M557&gt;0),AND(L557="降低改善",M557&lt;0))),"校正","不校正")</f>
        <v>不校正</v>
      </c>
      <c r="P557" s="8" t="s">
        <v>2049</v>
      </c>
      <c r="Q557" s="8" t="s">
        <v>159</v>
      </c>
      <c r="R557" s="8" t="s">
        <v>160</v>
      </c>
      <c r="S557" s="8"/>
    </row>
    <row r="558" spans="1:19" ht="48" customHeight="1">
      <c r="A558" s="7" t="s">
        <v>2050</v>
      </c>
      <c r="B558" s="7" t="s">
        <v>2038</v>
      </c>
      <c r="C558" s="7" t="s">
        <v>2051</v>
      </c>
      <c r="D558" s="7" t="s">
        <v>2040</v>
      </c>
      <c r="E558" s="8" t="s">
        <v>23</v>
      </c>
      <c r="F558" s="7" t="s">
        <v>2041</v>
      </c>
      <c r="G558" s="7" t="s">
        <v>2052</v>
      </c>
      <c r="H558" s="9">
        <f>IF(LEN(G558)=0,"",IF(ISNUMBER(SEARCH(",",G558)),LEN(SUBSTITUTE(G558,",","xx"))-LEN(G558)+1,1))</f>
        <v>12</v>
      </c>
      <c r="I558" s="7" t="s">
        <v>2053</v>
      </c>
      <c r="J558" s="9">
        <f>IF(LEN(I558)=0,"",IF(ISNUMBER(SEARCH(",",I558)),LEN(SUBSTITUTE(I558,",","xx"))-LEN(I558)+1,1))</f>
        <v>4</v>
      </c>
      <c r="K558" s="8" t="s">
        <v>64</v>
      </c>
      <c r="L558" s="8" t="s">
        <v>101</v>
      </c>
      <c r="M558" s="10">
        <v>0.3692744729379982</v>
      </c>
      <c r="N558" s="10">
        <v>9.822207705620685E-2</v>
      </c>
      <c r="O558" s="11" t="str">
        <f>IF(AND(N558&lt;0.05,OR(AND(L558="升高改善",M558&gt;0),AND(L558="降低改善",M558&lt;0))),"校正","不校正")</f>
        <v>不校正</v>
      </c>
      <c r="P558" s="8" t="s">
        <v>2054</v>
      </c>
      <c r="Q558" s="8" t="s">
        <v>159</v>
      </c>
      <c r="R558" s="8" t="s">
        <v>160</v>
      </c>
      <c r="S558" s="8"/>
    </row>
    <row r="559" spans="1:19" ht="48" customHeight="1">
      <c r="A559" s="12" t="s">
        <v>2055</v>
      </c>
      <c r="B559" s="12" t="s">
        <v>2056</v>
      </c>
      <c r="C559" s="12" t="s">
        <v>2057</v>
      </c>
      <c r="D559" s="12" t="s">
        <v>2058</v>
      </c>
      <c r="E559" s="13" t="s">
        <v>94</v>
      </c>
      <c r="F559" s="29" t="s">
        <v>2059</v>
      </c>
      <c r="G559" s="33"/>
      <c r="H559" s="34"/>
      <c r="I559" s="33"/>
      <c r="J559" s="34"/>
      <c r="K559" s="13" t="s">
        <v>2060</v>
      </c>
      <c r="L559" s="13" t="s">
        <v>28</v>
      </c>
      <c r="M559" s="15"/>
      <c r="N559" s="15"/>
      <c r="O559" s="16"/>
      <c r="P559" s="13" t="s">
        <v>2061</v>
      </c>
      <c r="Q559" s="13" t="s">
        <v>159</v>
      </c>
      <c r="R559" s="35" t="s">
        <v>94</v>
      </c>
      <c r="S559" s="13" t="s">
        <v>2062</v>
      </c>
    </row>
    <row r="560" spans="1:19" ht="48" customHeight="1">
      <c r="A560" s="17" t="s">
        <v>2063</v>
      </c>
      <c r="B560" s="17" t="s">
        <v>2056</v>
      </c>
      <c r="C560" s="17" t="s">
        <v>2064</v>
      </c>
      <c r="D560" s="17" t="s">
        <v>2058</v>
      </c>
      <c r="E560" s="18" t="s">
        <v>94</v>
      </c>
      <c r="F560" s="30" t="s">
        <v>2059</v>
      </c>
      <c r="G560" s="22"/>
      <c r="H560" s="23"/>
      <c r="I560" s="22"/>
      <c r="J560" s="23"/>
      <c r="K560" s="18" t="s">
        <v>2060</v>
      </c>
      <c r="L560" s="18" t="s">
        <v>28</v>
      </c>
      <c r="M560" s="20"/>
      <c r="N560" s="20"/>
      <c r="O560" s="21"/>
      <c r="P560" s="18" t="s">
        <v>2065</v>
      </c>
      <c r="Q560" s="18" t="s">
        <v>159</v>
      </c>
      <c r="R560" s="24" t="s">
        <v>94</v>
      </c>
      <c r="S560" s="18" t="s">
        <v>2062</v>
      </c>
    </row>
    <row r="561" spans="1:19" ht="48" customHeight="1">
      <c r="A561" s="17" t="s">
        <v>2066</v>
      </c>
      <c r="B561" s="17" t="s">
        <v>2056</v>
      </c>
      <c r="C561" s="17" t="s">
        <v>2067</v>
      </c>
      <c r="D561" s="17" t="s">
        <v>2058</v>
      </c>
      <c r="E561" s="18" t="s">
        <v>94</v>
      </c>
      <c r="F561" s="30" t="s">
        <v>2059</v>
      </c>
      <c r="G561" s="22"/>
      <c r="H561" s="23"/>
      <c r="I561" s="22"/>
      <c r="J561" s="23"/>
      <c r="K561" s="18" t="s">
        <v>2060</v>
      </c>
      <c r="L561" s="18" t="s">
        <v>28</v>
      </c>
      <c r="M561" s="20"/>
      <c r="N561" s="20"/>
      <c r="O561" s="21"/>
      <c r="P561" s="18" t="s">
        <v>2068</v>
      </c>
      <c r="Q561" s="18" t="s">
        <v>159</v>
      </c>
      <c r="R561" s="24" t="s">
        <v>94</v>
      </c>
      <c r="S561" s="18" t="s">
        <v>2062</v>
      </c>
    </row>
    <row r="562" spans="1:19" ht="48" customHeight="1">
      <c r="A562" s="17" t="s">
        <v>2069</v>
      </c>
      <c r="B562" s="17" t="s">
        <v>2056</v>
      </c>
      <c r="C562" s="17" t="s">
        <v>2070</v>
      </c>
      <c r="D562" s="17" t="s">
        <v>2058</v>
      </c>
      <c r="E562" s="18" t="s">
        <v>94</v>
      </c>
      <c r="F562" s="30" t="s">
        <v>2059</v>
      </c>
      <c r="G562" s="22"/>
      <c r="H562" s="23"/>
      <c r="I562" s="22"/>
      <c r="J562" s="23"/>
      <c r="K562" s="18" t="s">
        <v>2060</v>
      </c>
      <c r="L562" s="18" t="s">
        <v>28</v>
      </c>
      <c r="M562" s="20"/>
      <c r="N562" s="20"/>
      <c r="O562" s="21"/>
      <c r="P562" s="18" t="s">
        <v>2071</v>
      </c>
      <c r="Q562" s="18" t="s">
        <v>159</v>
      </c>
      <c r="R562" s="24" t="s">
        <v>94</v>
      </c>
      <c r="S562" s="18" t="s">
        <v>2062</v>
      </c>
    </row>
    <row r="563" spans="1:19" ht="48" customHeight="1">
      <c r="A563" s="17" t="s">
        <v>2072</v>
      </c>
      <c r="B563" s="17" t="s">
        <v>2056</v>
      </c>
      <c r="C563" s="17" t="s">
        <v>2057</v>
      </c>
      <c r="D563" s="17" t="s">
        <v>2073</v>
      </c>
      <c r="E563" s="18" t="s">
        <v>94</v>
      </c>
      <c r="F563" s="30" t="s">
        <v>2059</v>
      </c>
      <c r="G563" s="22"/>
      <c r="H563" s="23"/>
      <c r="I563" s="22"/>
      <c r="J563" s="23"/>
      <c r="K563" s="18" t="s">
        <v>2074</v>
      </c>
      <c r="L563" s="18" t="s">
        <v>28</v>
      </c>
      <c r="M563" s="20"/>
      <c r="N563" s="20"/>
      <c r="O563" s="21"/>
      <c r="P563" s="18" t="s">
        <v>2075</v>
      </c>
      <c r="Q563" s="18" t="s">
        <v>159</v>
      </c>
      <c r="R563" s="24" t="s">
        <v>94</v>
      </c>
      <c r="S563" s="18" t="s">
        <v>2076</v>
      </c>
    </row>
    <row r="564" spans="1:19" ht="48" customHeight="1">
      <c r="A564" s="17" t="s">
        <v>2077</v>
      </c>
      <c r="B564" s="17" t="s">
        <v>2056</v>
      </c>
      <c r="C564" s="17" t="s">
        <v>2064</v>
      </c>
      <c r="D564" s="17" t="s">
        <v>2073</v>
      </c>
      <c r="E564" s="18" t="s">
        <v>94</v>
      </c>
      <c r="F564" s="30" t="s">
        <v>2059</v>
      </c>
      <c r="G564" s="22"/>
      <c r="H564" s="23"/>
      <c r="I564" s="22"/>
      <c r="J564" s="23"/>
      <c r="K564" s="18" t="s">
        <v>2074</v>
      </c>
      <c r="L564" s="18" t="s">
        <v>28</v>
      </c>
      <c r="M564" s="20"/>
      <c r="N564" s="20"/>
      <c r="O564" s="21"/>
      <c r="P564" s="18" t="s">
        <v>2078</v>
      </c>
      <c r="Q564" s="18" t="s">
        <v>159</v>
      </c>
      <c r="R564" s="24" t="s">
        <v>94</v>
      </c>
      <c r="S564" s="18" t="s">
        <v>2076</v>
      </c>
    </row>
    <row r="565" spans="1:19" ht="48" customHeight="1">
      <c r="A565" s="17" t="s">
        <v>2079</v>
      </c>
      <c r="B565" s="17" t="s">
        <v>2056</v>
      </c>
      <c r="C565" s="17" t="s">
        <v>2067</v>
      </c>
      <c r="D565" s="17" t="s">
        <v>2073</v>
      </c>
      <c r="E565" s="18" t="s">
        <v>94</v>
      </c>
      <c r="F565" s="30" t="s">
        <v>2059</v>
      </c>
      <c r="G565" s="22"/>
      <c r="H565" s="23"/>
      <c r="I565" s="22"/>
      <c r="J565" s="23"/>
      <c r="K565" s="18" t="s">
        <v>2074</v>
      </c>
      <c r="L565" s="18" t="s">
        <v>28</v>
      </c>
      <c r="M565" s="20"/>
      <c r="N565" s="20"/>
      <c r="O565" s="21"/>
      <c r="P565" s="18" t="s">
        <v>2080</v>
      </c>
      <c r="Q565" s="18" t="s">
        <v>159</v>
      </c>
      <c r="R565" s="24" t="s">
        <v>94</v>
      </c>
      <c r="S565" s="18" t="s">
        <v>2076</v>
      </c>
    </row>
    <row r="566" spans="1:19" ht="48" customHeight="1">
      <c r="A566" s="17" t="s">
        <v>2081</v>
      </c>
      <c r="B566" s="17" t="s">
        <v>2056</v>
      </c>
      <c r="C566" s="17" t="s">
        <v>2070</v>
      </c>
      <c r="D566" s="17" t="s">
        <v>2073</v>
      </c>
      <c r="E566" s="18" t="s">
        <v>94</v>
      </c>
      <c r="F566" s="30" t="s">
        <v>2059</v>
      </c>
      <c r="G566" s="22"/>
      <c r="H566" s="23"/>
      <c r="I566" s="22"/>
      <c r="J566" s="23"/>
      <c r="K566" s="18" t="s">
        <v>2074</v>
      </c>
      <c r="L566" s="18" t="s">
        <v>28</v>
      </c>
      <c r="M566" s="20"/>
      <c r="N566" s="20"/>
      <c r="O566" s="21"/>
      <c r="P566" s="18" t="s">
        <v>2082</v>
      </c>
      <c r="Q566" s="18" t="s">
        <v>159</v>
      </c>
      <c r="R566" s="24" t="s">
        <v>94</v>
      </c>
      <c r="S566" s="18" t="s">
        <v>2076</v>
      </c>
    </row>
    <row r="567" spans="1:19" ht="36" customHeight="1">
      <c r="A567" s="2" t="s">
        <v>2083</v>
      </c>
      <c r="B567" s="2" t="s">
        <v>2084</v>
      </c>
      <c r="C567" s="2" t="s">
        <v>1476</v>
      </c>
      <c r="D567" s="2" t="s">
        <v>1141</v>
      </c>
      <c r="E567" s="3" t="s">
        <v>23</v>
      </c>
      <c r="F567" s="2" t="s">
        <v>2085</v>
      </c>
      <c r="G567" s="2" t="s">
        <v>2086</v>
      </c>
      <c r="H567" s="4">
        <f t="shared" ref="H567:H595" si="55">IF(LEN(G567)=0,"",IF(ISNUMBER(SEARCH(",",G567)),LEN(SUBSTITUTE(G567,",","xx"))-LEN(G567)+1,1))</f>
        <v>4</v>
      </c>
      <c r="I567" s="2" t="s">
        <v>2087</v>
      </c>
      <c r="J567" s="4">
        <f t="shared" ref="J567:J595" si="56">IF(LEN(I567)=0,"",IF(ISNUMBER(SEARCH(",",I567)),LEN(SUBSTITUTE(I567,",","xx"))-LEN(I567)+1,1))</f>
        <v>7</v>
      </c>
      <c r="K567" s="3" t="s">
        <v>1348</v>
      </c>
      <c r="L567" s="3" t="s">
        <v>28</v>
      </c>
      <c r="M567" s="5">
        <v>-0.18257418583505536</v>
      </c>
      <c r="N567" s="5">
        <v>0.71798166673377661</v>
      </c>
      <c r="O567" s="6" t="str">
        <f t="shared" ref="O567:O595" si="57">IF(AND(N567&lt;0.05,OR(AND(L567="升高改善",M567&gt;0),AND(L567="降低改善",M567&lt;0))),"校正","不校正")</f>
        <v>不校正</v>
      </c>
      <c r="P567" s="3" t="s">
        <v>2088</v>
      </c>
      <c r="Q567" s="3" t="s">
        <v>159</v>
      </c>
      <c r="R567" s="3" t="s">
        <v>160</v>
      </c>
      <c r="S567" s="3"/>
    </row>
    <row r="568" spans="1:19" ht="36" customHeight="1">
      <c r="A568" s="7" t="s">
        <v>2089</v>
      </c>
      <c r="B568" s="7" t="s">
        <v>2084</v>
      </c>
      <c r="C568" s="7" t="s">
        <v>1476</v>
      </c>
      <c r="D568" s="7" t="s">
        <v>1163</v>
      </c>
      <c r="E568" s="8" t="s">
        <v>23</v>
      </c>
      <c r="F568" s="7" t="s">
        <v>2085</v>
      </c>
      <c r="G568" s="7" t="s">
        <v>2090</v>
      </c>
      <c r="H568" s="9">
        <f t="shared" si="55"/>
        <v>4</v>
      </c>
      <c r="I568" s="7" t="s">
        <v>2091</v>
      </c>
      <c r="J568" s="9">
        <f t="shared" si="56"/>
        <v>7</v>
      </c>
      <c r="K568" s="8" t="s">
        <v>1348</v>
      </c>
      <c r="L568" s="8" t="s">
        <v>28</v>
      </c>
      <c r="M568" s="10">
        <v>0.33333333333333331</v>
      </c>
      <c r="N568" s="10">
        <v>0.49690584756476791</v>
      </c>
      <c r="O568" s="11" t="str">
        <f t="shared" si="57"/>
        <v>不校正</v>
      </c>
      <c r="P568" s="8" t="s">
        <v>2092</v>
      </c>
      <c r="Q568" s="8" t="s">
        <v>159</v>
      </c>
      <c r="R568" s="8" t="s">
        <v>160</v>
      </c>
      <c r="S568" s="8"/>
    </row>
    <row r="569" spans="1:19" ht="36" customHeight="1">
      <c r="A569" s="7" t="s">
        <v>2093</v>
      </c>
      <c r="B569" s="7" t="s">
        <v>2084</v>
      </c>
      <c r="C569" s="7" t="s">
        <v>2094</v>
      </c>
      <c r="D569" s="7" t="s">
        <v>1141</v>
      </c>
      <c r="E569" s="8" t="s">
        <v>23</v>
      </c>
      <c r="F569" s="7" t="s">
        <v>2085</v>
      </c>
      <c r="G569" s="7" t="s">
        <v>2095</v>
      </c>
      <c r="H569" s="9">
        <f t="shared" si="55"/>
        <v>6</v>
      </c>
      <c r="I569" s="7" t="s">
        <v>2096</v>
      </c>
      <c r="J569" s="9">
        <f t="shared" si="56"/>
        <v>11</v>
      </c>
      <c r="K569" s="8" t="s">
        <v>1348</v>
      </c>
      <c r="L569" s="8" t="s">
        <v>28</v>
      </c>
      <c r="M569" s="10">
        <v>0.11547005383792514</v>
      </c>
      <c r="N569" s="10">
        <v>0.76969794378128975</v>
      </c>
      <c r="O569" s="11" t="str">
        <f t="shared" si="57"/>
        <v>不校正</v>
      </c>
      <c r="P569" s="8" t="s">
        <v>2097</v>
      </c>
      <c r="Q569" s="8" t="s">
        <v>159</v>
      </c>
      <c r="R569" s="8" t="s">
        <v>160</v>
      </c>
      <c r="S569" s="8"/>
    </row>
    <row r="570" spans="1:19" ht="36" customHeight="1">
      <c r="A570" s="7" t="s">
        <v>2098</v>
      </c>
      <c r="B570" s="7" t="s">
        <v>2084</v>
      </c>
      <c r="C570" s="7" t="s">
        <v>2094</v>
      </c>
      <c r="D570" s="7" t="s">
        <v>1163</v>
      </c>
      <c r="E570" s="8" t="s">
        <v>23</v>
      </c>
      <c r="F570" s="7" t="s">
        <v>2085</v>
      </c>
      <c r="G570" s="7" t="s">
        <v>2099</v>
      </c>
      <c r="H570" s="9">
        <f t="shared" si="55"/>
        <v>6</v>
      </c>
      <c r="I570" s="7" t="s">
        <v>2100</v>
      </c>
      <c r="J570" s="9">
        <f t="shared" si="56"/>
        <v>11</v>
      </c>
      <c r="K570" s="8" t="s">
        <v>1348</v>
      </c>
      <c r="L570" s="8" t="s">
        <v>28</v>
      </c>
      <c r="M570" s="10">
        <v>0.64450338663548956</v>
      </c>
      <c r="N570" s="10">
        <v>7.9458189743169289E-2</v>
      </c>
      <c r="O570" s="11" t="str">
        <f t="shared" si="57"/>
        <v>不校正</v>
      </c>
      <c r="P570" s="8" t="s">
        <v>2101</v>
      </c>
      <c r="Q570" s="8" t="s">
        <v>159</v>
      </c>
      <c r="R570" s="8" t="s">
        <v>160</v>
      </c>
      <c r="S570" s="8"/>
    </row>
    <row r="571" spans="1:19" ht="48" customHeight="1">
      <c r="A571" s="7" t="s">
        <v>2102</v>
      </c>
      <c r="B571" s="7" t="s">
        <v>2084</v>
      </c>
      <c r="C571" s="7" t="s">
        <v>2103</v>
      </c>
      <c r="D571" s="7" t="s">
        <v>1141</v>
      </c>
      <c r="E571" s="8" t="s">
        <v>23</v>
      </c>
      <c r="F571" s="7" t="s">
        <v>2104</v>
      </c>
      <c r="G571" s="7" t="s">
        <v>2105</v>
      </c>
      <c r="H571" s="9">
        <f t="shared" si="55"/>
        <v>8</v>
      </c>
      <c r="I571" s="7" t="s">
        <v>2106</v>
      </c>
      <c r="J571" s="9">
        <f t="shared" si="56"/>
        <v>5</v>
      </c>
      <c r="K571" s="8" t="s">
        <v>1348</v>
      </c>
      <c r="L571" s="8" t="s">
        <v>28</v>
      </c>
      <c r="M571" s="10">
        <v>0.18184824186332699</v>
      </c>
      <c r="N571" s="10">
        <v>0.53303567449175127</v>
      </c>
      <c r="O571" s="11" t="str">
        <f t="shared" si="57"/>
        <v>不校正</v>
      </c>
      <c r="P571" s="8" t="s">
        <v>2107</v>
      </c>
      <c r="Q571" s="8" t="s">
        <v>159</v>
      </c>
      <c r="R571" s="8" t="s">
        <v>160</v>
      </c>
      <c r="S571" s="8"/>
    </row>
    <row r="572" spans="1:19" ht="48" customHeight="1">
      <c r="A572" s="7" t="s">
        <v>2108</v>
      </c>
      <c r="B572" s="7" t="s">
        <v>2084</v>
      </c>
      <c r="C572" s="7" t="s">
        <v>2103</v>
      </c>
      <c r="D572" s="7" t="s">
        <v>1163</v>
      </c>
      <c r="E572" s="8" t="s">
        <v>23</v>
      </c>
      <c r="F572" s="7" t="s">
        <v>2104</v>
      </c>
      <c r="G572" s="7" t="s">
        <v>2109</v>
      </c>
      <c r="H572" s="9">
        <f t="shared" si="55"/>
        <v>8</v>
      </c>
      <c r="I572" s="7" t="s">
        <v>2110</v>
      </c>
      <c r="J572" s="9">
        <f t="shared" si="56"/>
        <v>5</v>
      </c>
      <c r="K572" s="8" t="s">
        <v>1348</v>
      </c>
      <c r="L572" s="8" t="s">
        <v>28</v>
      </c>
      <c r="M572" s="10">
        <v>-0.18898223650461363</v>
      </c>
      <c r="N572" s="10">
        <v>0.52431080089918325</v>
      </c>
      <c r="O572" s="11" t="str">
        <f t="shared" si="57"/>
        <v>不校正</v>
      </c>
      <c r="P572" s="8" t="s">
        <v>2111</v>
      </c>
      <c r="Q572" s="8" t="s">
        <v>159</v>
      </c>
      <c r="R572" s="8" t="s">
        <v>160</v>
      </c>
      <c r="S572" s="8"/>
    </row>
    <row r="573" spans="1:19" ht="36" customHeight="1">
      <c r="A573" s="12" t="s">
        <v>2112</v>
      </c>
      <c r="B573" s="12" t="s">
        <v>2113</v>
      </c>
      <c r="C573" s="29" t="s">
        <v>2114</v>
      </c>
      <c r="D573" s="12" t="s">
        <v>2115</v>
      </c>
      <c r="E573" s="13" t="s">
        <v>23</v>
      </c>
      <c r="F573" s="12" t="s">
        <v>2116</v>
      </c>
      <c r="G573" s="12" t="s">
        <v>2117</v>
      </c>
      <c r="H573" s="14">
        <f t="shared" si="55"/>
        <v>6</v>
      </c>
      <c r="I573" s="12" t="s">
        <v>2118</v>
      </c>
      <c r="J573" s="14">
        <f t="shared" si="56"/>
        <v>6</v>
      </c>
      <c r="K573" s="13" t="s">
        <v>64</v>
      </c>
      <c r="L573" s="13" t="s">
        <v>28</v>
      </c>
      <c r="M573" s="25">
        <v>0.41403933560541256</v>
      </c>
      <c r="N573" s="25">
        <v>0.25111800127447359</v>
      </c>
      <c r="O573" s="26" t="str">
        <f t="shared" si="57"/>
        <v>不校正</v>
      </c>
      <c r="P573" s="13" t="s">
        <v>2119</v>
      </c>
      <c r="Q573" s="13" t="s">
        <v>159</v>
      </c>
      <c r="R573" s="13" t="s">
        <v>160</v>
      </c>
      <c r="S573" s="13"/>
    </row>
    <row r="574" spans="1:19" ht="48" customHeight="1">
      <c r="A574" s="2" t="s">
        <v>2120</v>
      </c>
      <c r="B574" s="2" t="s">
        <v>2121</v>
      </c>
      <c r="C574" s="2" t="s">
        <v>2122</v>
      </c>
      <c r="D574" s="2" t="s">
        <v>2123</v>
      </c>
      <c r="E574" s="3" t="s">
        <v>23</v>
      </c>
      <c r="F574" s="2" t="s">
        <v>132</v>
      </c>
      <c r="G574" s="2" t="s">
        <v>2124</v>
      </c>
      <c r="H574" s="4">
        <f t="shared" si="55"/>
        <v>8</v>
      </c>
      <c r="I574" s="2" t="s">
        <v>2125</v>
      </c>
      <c r="J574" s="4">
        <f t="shared" si="56"/>
        <v>10</v>
      </c>
      <c r="K574" s="3" t="s">
        <v>64</v>
      </c>
      <c r="L574" s="3" t="s">
        <v>28</v>
      </c>
      <c r="M574" s="5">
        <v>-0.2620712091804796</v>
      </c>
      <c r="N574" s="5">
        <v>0.41107977872331541</v>
      </c>
      <c r="O574" s="6" t="str">
        <f t="shared" si="57"/>
        <v>不校正</v>
      </c>
      <c r="P574" s="3" t="s">
        <v>2126</v>
      </c>
      <c r="Q574" s="3" t="s">
        <v>159</v>
      </c>
      <c r="R574" s="3" t="s">
        <v>160</v>
      </c>
      <c r="S574" s="3"/>
    </row>
    <row r="575" spans="1:19" ht="48" customHeight="1">
      <c r="A575" s="7" t="s">
        <v>2127</v>
      </c>
      <c r="B575" s="7" t="s">
        <v>2121</v>
      </c>
      <c r="C575" s="7" t="s">
        <v>2122</v>
      </c>
      <c r="D575" s="7" t="s">
        <v>2123</v>
      </c>
      <c r="E575" s="8" t="s">
        <v>81</v>
      </c>
      <c r="F575" s="7" t="s">
        <v>995</v>
      </c>
      <c r="G575" s="7" t="s">
        <v>2124</v>
      </c>
      <c r="H575" s="9">
        <f t="shared" si="55"/>
        <v>8</v>
      </c>
      <c r="I575" s="7" t="s">
        <v>2128</v>
      </c>
      <c r="J575" s="9">
        <f t="shared" si="56"/>
        <v>4</v>
      </c>
      <c r="K575" s="8" t="s">
        <v>64</v>
      </c>
      <c r="L575" s="8" t="s">
        <v>28</v>
      </c>
      <c r="M575" s="10">
        <v>-0.2620712091804796</v>
      </c>
      <c r="N575" s="10">
        <v>0.41107977872331541</v>
      </c>
      <c r="O575" s="11" t="str">
        <f t="shared" si="57"/>
        <v>不校正</v>
      </c>
      <c r="P575" s="8" t="s">
        <v>2126</v>
      </c>
      <c r="Q575" s="8" t="s">
        <v>159</v>
      </c>
      <c r="R575" s="8" t="s">
        <v>160</v>
      </c>
      <c r="S575" s="8"/>
    </row>
    <row r="576" spans="1:19" ht="48" customHeight="1">
      <c r="A576" s="7" t="s">
        <v>2129</v>
      </c>
      <c r="B576" s="7" t="s">
        <v>2121</v>
      </c>
      <c r="C576" s="7" t="s">
        <v>2122</v>
      </c>
      <c r="D576" s="7" t="s">
        <v>2123</v>
      </c>
      <c r="E576" s="8" t="s">
        <v>34</v>
      </c>
      <c r="F576" s="7" t="s">
        <v>2130</v>
      </c>
      <c r="G576" s="7" t="s">
        <v>2131</v>
      </c>
      <c r="H576" s="9">
        <f t="shared" si="55"/>
        <v>4</v>
      </c>
      <c r="I576" s="7" t="s">
        <v>2132</v>
      </c>
      <c r="J576" s="9">
        <f t="shared" si="56"/>
        <v>5</v>
      </c>
      <c r="K576" s="8" t="s">
        <v>64</v>
      </c>
      <c r="L576" s="8" t="s">
        <v>28</v>
      </c>
      <c r="M576" s="10">
        <v>0.33333333333333331</v>
      </c>
      <c r="N576" s="10">
        <v>0.49690584756476791</v>
      </c>
      <c r="O576" s="11" t="str">
        <f t="shared" si="57"/>
        <v>不校正</v>
      </c>
      <c r="P576" s="8" t="s">
        <v>2133</v>
      </c>
      <c r="Q576" s="8" t="s">
        <v>159</v>
      </c>
      <c r="R576" s="8" t="s">
        <v>160</v>
      </c>
      <c r="S576" s="8"/>
    </row>
    <row r="577" spans="1:19" ht="48" customHeight="1">
      <c r="A577" s="7" t="s">
        <v>2134</v>
      </c>
      <c r="B577" s="7" t="s">
        <v>2121</v>
      </c>
      <c r="C577" s="7" t="s">
        <v>2122</v>
      </c>
      <c r="D577" s="7" t="s">
        <v>2123</v>
      </c>
      <c r="E577" s="8" t="s">
        <v>34</v>
      </c>
      <c r="F577" s="7" t="s">
        <v>2135</v>
      </c>
      <c r="G577" s="7" t="s">
        <v>2131</v>
      </c>
      <c r="H577" s="9">
        <f t="shared" si="55"/>
        <v>4</v>
      </c>
      <c r="I577" s="7" t="s">
        <v>2136</v>
      </c>
      <c r="J577" s="9">
        <f t="shared" si="56"/>
        <v>4</v>
      </c>
      <c r="K577" s="8" t="s">
        <v>64</v>
      </c>
      <c r="L577" s="8" t="s">
        <v>28</v>
      </c>
      <c r="M577" s="10">
        <v>0.33333333333333331</v>
      </c>
      <c r="N577" s="10">
        <v>0.49690584756476791</v>
      </c>
      <c r="O577" s="11" t="str">
        <f t="shared" si="57"/>
        <v>不校正</v>
      </c>
      <c r="P577" s="8" t="s">
        <v>2133</v>
      </c>
      <c r="Q577" s="8" t="s">
        <v>159</v>
      </c>
      <c r="R577" s="8" t="s">
        <v>160</v>
      </c>
      <c r="S577" s="8"/>
    </row>
    <row r="578" spans="1:19" ht="48" customHeight="1">
      <c r="A578" s="7" t="s">
        <v>2137</v>
      </c>
      <c r="B578" s="7" t="s">
        <v>2121</v>
      </c>
      <c r="C578" s="7" t="s">
        <v>2122</v>
      </c>
      <c r="D578" s="7" t="s">
        <v>2123</v>
      </c>
      <c r="E578" s="8" t="s">
        <v>34</v>
      </c>
      <c r="F578" s="7" t="s">
        <v>2138</v>
      </c>
      <c r="G578" s="7" t="s">
        <v>2131</v>
      </c>
      <c r="H578" s="9">
        <f t="shared" si="55"/>
        <v>4</v>
      </c>
      <c r="I578" s="7" t="s">
        <v>2139</v>
      </c>
      <c r="J578" s="9">
        <f t="shared" si="56"/>
        <v>2</v>
      </c>
      <c r="K578" s="8" t="s">
        <v>64</v>
      </c>
      <c r="L578" s="8" t="s">
        <v>28</v>
      </c>
      <c r="M578" s="10">
        <v>0.33333333333333331</v>
      </c>
      <c r="N578" s="10">
        <v>0.49690584756476791</v>
      </c>
      <c r="O578" s="11" t="str">
        <f t="shared" si="57"/>
        <v>不校正</v>
      </c>
      <c r="P578" s="8" t="s">
        <v>2133</v>
      </c>
      <c r="Q578" s="8" t="s">
        <v>159</v>
      </c>
      <c r="R578" s="8" t="s">
        <v>160</v>
      </c>
      <c r="S578" s="8"/>
    </row>
    <row r="579" spans="1:19" ht="48" customHeight="1">
      <c r="A579" s="7" t="s">
        <v>2140</v>
      </c>
      <c r="B579" s="7" t="s">
        <v>2121</v>
      </c>
      <c r="C579" s="7" t="s">
        <v>2067</v>
      </c>
      <c r="D579" s="7" t="s">
        <v>2123</v>
      </c>
      <c r="E579" s="8" t="s">
        <v>23</v>
      </c>
      <c r="F579" s="7" t="s">
        <v>132</v>
      </c>
      <c r="G579" s="7" t="s">
        <v>2141</v>
      </c>
      <c r="H579" s="9">
        <f t="shared" si="55"/>
        <v>13</v>
      </c>
      <c r="I579" s="7" t="s">
        <v>2142</v>
      </c>
      <c r="J579" s="9">
        <f t="shared" si="56"/>
        <v>7</v>
      </c>
      <c r="K579" s="8" t="s">
        <v>64</v>
      </c>
      <c r="L579" s="8" t="s">
        <v>28</v>
      </c>
      <c r="M579" s="10">
        <v>-0.21350420507344953</v>
      </c>
      <c r="N579" s="10">
        <v>0.32106199225390653</v>
      </c>
      <c r="O579" s="11" t="str">
        <f t="shared" si="57"/>
        <v>不校正</v>
      </c>
      <c r="P579" s="8" t="s">
        <v>2143</v>
      </c>
      <c r="Q579" s="8" t="s">
        <v>159</v>
      </c>
      <c r="R579" s="8" t="s">
        <v>160</v>
      </c>
      <c r="S579" s="8"/>
    </row>
    <row r="580" spans="1:19" ht="48" customHeight="1">
      <c r="A580" s="7" t="s">
        <v>2144</v>
      </c>
      <c r="B580" s="7" t="s">
        <v>2121</v>
      </c>
      <c r="C580" s="7" t="s">
        <v>2067</v>
      </c>
      <c r="D580" s="7" t="s">
        <v>2123</v>
      </c>
      <c r="E580" s="8" t="s">
        <v>81</v>
      </c>
      <c r="F580" s="7" t="s">
        <v>995</v>
      </c>
      <c r="G580" s="7" t="s">
        <v>2141</v>
      </c>
      <c r="H580" s="9">
        <f t="shared" si="55"/>
        <v>13</v>
      </c>
      <c r="I580" s="7" t="s">
        <v>2145</v>
      </c>
      <c r="J580" s="9">
        <f t="shared" si="56"/>
        <v>4</v>
      </c>
      <c r="K580" s="8" t="s">
        <v>64</v>
      </c>
      <c r="L580" s="8" t="s">
        <v>28</v>
      </c>
      <c r="M580" s="10">
        <v>-0.21350420507344953</v>
      </c>
      <c r="N580" s="10">
        <v>0.32106199225390653</v>
      </c>
      <c r="O580" s="11" t="str">
        <f t="shared" si="57"/>
        <v>不校正</v>
      </c>
      <c r="P580" s="8" t="s">
        <v>2143</v>
      </c>
      <c r="Q580" s="8" t="s">
        <v>159</v>
      </c>
      <c r="R580" s="8" t="s">
        <v>160</v>
      </c>
      <c r="S580" s="8"/>
    </row>
    <row r="581" spans="1:19" ht="48" customHeight="1">
      <c r="A581" s="7" t="s">
        <v>2146</v>
      </c>
      <c r="B581" s="7" t="s">
        <v>2121</v>
      </c>
      <c r="C581" s="7" t="s">
        <v>2067</v>
      </c>
      <c r="D581" s="7" t="s">
        <v>2123</v>
      </c>
      <c r="E581" s="8" t="s">
        <v>34</v>
      </c>
      <c r="F581" s="7" t="s">
        <v>2130</v>
      </c>
      <c r="G581" s="7" t="s">
        <v>2147</v>
      </c>
      <c r="H581" s="9">
        <f t="shared" si="55"/>
        <v>7</v>
      </c>
      <c r="I581" s="7" t="s">
        <v>2148</v>
      </c>
      <c r="J581" s="9">
        <f t="shared" si="56"/>
        <v>3</v>
      </c>
      <c r="K581" s="8" t="s">
        <v>64</v>
      </c>
      <c r="L581" s="8" t="s">
        <v>28</v>
      </c>
      <c r="M581" s="10">
        <v>0.47633051162246681</v>
      </c>
      <c r="N581" s="10">
        <v>0.15300666649639963</v>
      </c>
      <c r="O581" s="11" t="str">
        <f t="shared" si="57"/>
        <v>不校正</v>
      </c>
      <c r="P581" s="8" t="s">
        <v>2149</v>
      </c>
      <c r="Q581" s="8" t="s">
        <v>159</v>
      </c>
      <c r="R581" s="8" t="s">
        <v>160</v>
      </c>
      <c r="S581" s="8"/>
    </row>
    <row r="582" spans="1:19" ht="48" customHeight="1">
      <c r="A582" s="7" t="s">
        <v>2150</v>
      </c>
      <c r="B582" s="7" t="s">
        <v>2121</v>
      </c>
      <c r="C582" s="7" t="s">
        <v>2067</v>
      </c>
      <c r="D582" s="7" t="s">
        <v>2123</v>
      </c>
      <c r="E582" s="8" t="s">
        <v>34</v>
      </c>
      <c r="F582" s="7" t="s">
        <v>2135</v>
      </c>
      <c r="G582" s="7" t="s">
        <v>2147</v>
      </c>
      <c r="H582" s="9">
        <f t="shared" si="55"/>
        <v>7</v>
      </c>
      <c r="I582" s="7" t="s">
        <v>2151</v>
      </c>
      <c r="J582" s="9">
        <f t="shared" si="56"/>
        <v>3</v>
      </c>
      <c r="K582" s="8" t="s">
        <v>64</v>
      </c>
      <c r="L582" s="8" t="s">
        <v>28</v>
      </c>
      <c r="M582" s="10">
        <v>0.47633051162246681</v>
      </c>
      <c r="N582" s="10">
        <v>0.15300666649639963</v>
      </c>
      <c r="O582" s="11" t="str">
        <f t="shared" si="57"/>
        <v>不校正</v>
      </c>
      <c r="P582" s="8" t="s">
        <v>2149</v>
      </c>
      <c r="Q582" s="8" t="s">
        <v>159</v>
      </c>
      <c r="R582" s="8" t="s">
        <v>160</v>
      </c>
      <c r="S582" s="8"/>
    </row>
    <row r="583" spans="1:19" ht="48" customHeight="1">
      <c r="A583" s="7" t="s">
        <v>2152</v>
      </c>
      <c r="B583" s="7" t="s">
        <v>2121</v>
      </c>
      <c r="C583" s="7" t="s">
        <v>2067</v>
      </c>
      <c r="D583" s="7" t="s">
        <v>2123</v>
      </c>
      <c r="E583" s="8" t="s">
        <v>34</v>
      </c>
      <c r="F583" s="7" t="s">
        <v>2138</v>
      </c>
      <c r="G583" s="7" t="s">
        <v>2147</v>
      </c>
      <c r="H583" s="9">
        <f t="shared" si="55"/>
        <v>7</v>
      </c>
      <c r="I583" s="7" t="s">
        <v>2153</v>
      </c>
      <c r="J583" s="9">
        <f t="shared" si="56"/>
        <v>2</v>
      </c>
      <c r="K583" s="8" t="s">
        <v>64</v>
      </c>
      <c r="L583" s="8" t="s">
        <v>28</v>
      </c>
      <c r="M583" s="10">
        <v>0.47633051162246681</v>
      </c>
      <c r="N583" s="10">
        <v>0.15300666649639963</v>
      </c>
      <c r="O583" s="11" t="str">
        <f t="shared" si="57"/>
        <v>不校正</v>
      </c>
      <c r="P583" s="8" t="s">
        <v>2149</v>
      </c>
      <c r="Q583" s="8" t="s">
        <v>159</v>
      </c>
      <c r="R583" s="8" t="s">
        <v>160</v>
      </c>
      <c r="S583" s="8"/>
    </row>
    <row r="584" spans="1:19" ht="48" customHeight="1">
      <c r="A584" s="7" t="s">
        <v>2154</v>
      </c>
      <c r="B584" s="7" t="s">
        <v>2121</v>
      </c>
      <c r="C584" s="7" t="s">
        <v>2155</v>
      </c>
      <c r="D584" s="7" t="s">
        <v>2156</v>
      </c>
      <c r="E584" s="8" t="s">
        <v>23</v>
      </c>
      <c r="F584" s="7" t="s">
        <v>132</v>
      </c>
      <c r="G584" s="7" t="s">
        <v>2157</v>
      </c>
      <c r="H584" s="9">
        <f t="shared" si="55"/>
        <v>17</v>
      </c>
      <c r="I584" s="7" t="s">
        <v>2158</v>
      </c>
      <c r="J584" s="9">
        <f t="shared" si="56"/>
        <v>9</v>
      </c>
      <c r="K584" s="8" t="s">
        <v>64</v>
      </c>
      <c r="L584" s="8" t="s">
        <v>28</v>
      </c>
      <c r="M584" s="10">
        <v>-0.1469033132808561</v>
      </c>
      <c r="N584" s="10">
        <v>0.4265406462972442</v>
      </c>
      <c r="O584" s="11" t="str">
        <f t="shared" si="57"/>
        <v>不校正</v>
      </c>
      <c r="P584" s="8" t="s">
        <v>2159</v>
      </c>
      <c r="Q584" s="8" t="s">
        <v>159</v>
      </c>
      <c r="R584" s="8" t="s">
        <v>160</v>
      </c>
      <c r="S584" s="8"/>
    </row>
    <row r="585" spans="1:19" ht="48" customHeight="1">
      <c r="A585" s="7" t="s">
        <v>2160</v>
      </c>
      <c r="B585" s="7" t="s">
        <v>2121</v>
      </c>
      <c r="C585" s="7" t="s">
        <v>2155</v>
      </c>
      <c r="D585" s="7" t="s">
        <v>2156</v>
      </c>
      <c r="E585" s="8" t="s">
        <v>81</v>
      </c>
      <c r="F585" s="7" t="s">
        <v>995</v>
      </c>
      <c r="G585" s="7" t="s">
        <v>2157</v>
      </c>
      <c r="H585" s="9">
        <f t="shared" si="55"/>
        <v>17</v>
      </c>
      <c r="I585" s="7" t="s">
        <v>2161</v>
      </c>
      <c r="J585" s="9">
        <f t="shared" si="56"/>
        <v>4</v>
      </c>
      <c r="K585" s="8" t="s">
        <v>64</v>
      </c>
      <c r="L585" s="8" t="s">
        <v>28</v>
      </c>
      <c r="M585" s="10">
        <v>-0.1469033132808561</v>
      </c>
      <c r="N585" s="10">
        <v>0.4265406462972442</v>
      </c>
      <c r="O585" s="11" t="str">
        <f t="shared" si="57"/>
        <v>不校正</v>
      </c>
      <c r="P585" s="8" t="s">
        <v>2159</v>
      </c>
      <c r="Q585" s="8" t="s">
        <v>159</v>
      </c>
      <c r="R585" s="8" t="s">
        <v>160</v>
      </c>
      <c r="S585" s="8"/>
    </row>
    <row r="586" spans="1:19" ht="48" customHeight="1">
      <c r="A586" s="7" t="s">
        <v>2162</v>
      </c>
      <c r="B586" s="7" t="s">
        <v>2121</v>
      </c>
      <c r="C586" s="7" t="s">
        <v>2155</v>
      </c>
      <c r="D586" s="7" t="s">
        <v>2156</v>
      </c>
      <c r="E586" s="8" t="s">
        <v>34</v>
      </c>
      <c r="F586" s="7" t="s">
        <v>2130</v>
      </c>
      <c r="G586" s="7" t="s">
        <v>2163</v>
      </c>
      <c r="H586" s="9">
        <f t="shared" si="55"/>
        <v>8</v>
      </c>
      <c r="I586" s="7" t="s">
        <v>2164</v>
      </c>
      <c r="J586" s="9">
        <f t="shared" si="56"/>
        <v>5</v>
      </c>
      <c r="K586" s="8" t="s">
        <v>64</v>
      </c>
      <c r="L586" s="8" t="s">
        <v>28</v>
      </c>
      <c r="M586" s="10">
        <v>0.32732683535398854</v>
      </c>
      <c r="N586" s="10">
        <v>0.26182770092717633</v>
      </c>
      <c r="O586" s="11" t="str">
        <f t="shared" si="57"/>
        <v>不校正</v>
      </c>
      <c r="P586" s="8" t="s">
        <v>2165</v>
      </c>
      <c r="Q586" s="8" t="s">
        <v>159</v>
      </c>
      <c r="R586" s="8" t="s">
        <v>160</v>
      </c>
      <c r="S586" s="8"/>
    </row>
    <row r="587" spans="1:19" ht="48" customHeight="1">
      <c r="A587" s="7" t="s">
        <v>2166</v>
      </c>
      <c r="B587" s="7" t="s">
        <v>2121</v>
      </c>
      <c r="C587" s="7" t="s">
        <v>2155</v>
      </c>
      <c r="D587" s="7" t="s">
        <v>2156</v>
      </c>
      <c r="E587" s="8" t="s">
        <v>34</v>
      </c>
      <c r="F587" s="7" t="s">
        <v>2138</v>
      </c>
      <c r="G587" s="7" t="s">
        <v>2163</v>
      </c>
      <c r="H587" s="9">
        <f t="shared" si="55"/>
        <v>8</v>
      </c>
      <c r="I587" s="7" t="s">
        <v>2167</v>
      </c>
      <c r="J587" s="9">
        <f t="shared" si="56"/>
        <v>2</v>
      </c>
      <c r="K587" s="8" t="s">
        <v>64</v>
      </c>
      <c r="L587" s="8" t="s">
        <v>28</v>
      </c>
      <c r="M587" s="10">
        <v>0.32732683535398854</v>
      </c>
      <c r="N587" s="10">
        <v>0.26182770092717633</v>
      </c>
      <c r="O587" s="11" t="str">
        <f t="shared" si="57"/>
        <v>不校正</v>
      </c>
      <c r="P587" s="8" t="s">
        <v>2165</v>
      </c>
      <c r="Q587" s="8" t="s">
        <v>159</v>
      </c>
      <c r="R587" s="8" t="s">
        <v>160</v>
      </c>
      <c r="S587" s="8"/>
    </row>
    <row r="588" spans="1:19" ht="36" customHeight="1">
      <c r="A588" s="12" t="s">
        <v>2168</v>
      </c>
      <c r="B588" s="29" t="s">
        <v>2169</v>
      </c>
      <c r="C588" s="29" t="s">
        <v>2170</v>
      </c>
      <c r="D588" s="29" t="s">
        <v>2171</v>
      </c>
      <c r="E588" s="13" t="s">
        <v>23</v>
      </c>
      <c r="F588" s="29" t="s">
        <v>2172</v>
      </c>
      <c r="G588" s="12" t="s">
        <v>2173</v>
      </c>
      <c r="H588" s="14">
        <f t="shared" si="55"/>
        <v>3</v>
      </c>
      <c r="I588" s="12" t="s">
        <v>2174</v>
      </c>
      <c r="J588" s="14">
        <f t="shared" si="56"/>
        <v>16</v>
      </c>
      <c r="K588" s="13" t="s">
        <v>27</v>
      </c>
      <c r="L588" s="13" t="s">
        <v>28</v>
      </c>
      <c r="M588" s="25">
        <v>0</v>
      </c>
      <c r="N588" s="25">
        <v>1</v>
      </c>
      <c r="O588" s="26" t="str">
        <f t="shared" si="57"/>
        <v>不校正</v>
      </c>
      <c r="P588" s="13" t="s">
        <v>2175</v>
      </c>
      <c r="Q588" s="13" t="s">
        <v>159</v>
      </c>
      <c r="R588" s="13" t="s">
        <v>160</v>
      </c>
      <c r="S588" s="13"/>
    </row>
    <row r="589" spans="1:19" ht="36" customHeight="1">
      <c r="A589" s="17" t="s">
        <v>2176</v>
      </c>
      <c r="B589" s="30" t="s">
        <v>2169</v>
      </c>
      <c r="C589" s="30" t="s">
        <v>2170</v>
      </c>
      <c r="D589" s="30" t="s">
        <v>2171</v>
      </c>
      <c r="E589" s="18" t="s">
        <v>81</v>
      </c>
      <c r="F589" s="30" t="s">
        <v>2177</v>
      </c>
      <c r="G589" s="17" t="s">
        <v>2173</v>
      </c>
      <c r="H589" s="19">
        <f t="shared" si="55"/>
        <v>3</v>
      </c>
      <c r="I589" s="17" t="s">
        <v>2178</v>
      </c>
      <c r="J589" s="19">
        <f t="shared" si="56"/>
        <v>5</v>
      </c>
      <c r="K589" s="18" t="s">
        <v>27</v>
      </c>
      <c r="L589" s="18" t="s">
        <v>28</v>
      </c>
      <c r="M589" s="27">
        <v>0</v>
      </c>
      <c r="N589" s="27">
        <v>1</v>
      </c>
      <c r="O589" s="28" t="str">
        <f t="shared" si="57"/>
        <v>不校正</v>
      </c>
      <c r="P589" s="18" t="s">
        <v>2179</v>
      </c>
      <c r="Q589" s="18" t="s">
        <v>159</v>
      </c>
      <c r="R589" s="18" t="s">
        <v>160</v>
      </c>
      <c r="S589" s="18"/>
    </row>
    <row r="590" spans="1:19" ht="36" customHeight="1">
      <c r="A590" s="17" t="s">
        <v>2180</v>
      </c>
      <c r="B590" s="30" t="s">
        <v>2169</v>
      </c>
      <c r="C590" s="30" t="s">
        <v>2170</v>
      </c>
      <c r="D590" s="30" t="s">
        <v>2181</v>
      </c>
      <c r="E590" s="18" t="s">
        <v>23</v>
      </c>
      <c r="F590" s="30" t="s">
        <v>2172</v>
      </c>
      <c r="G590" s="17" t="s">
        <v>260</v>
      </c>
      <c r="H590" s="19">
        <f t="shared" si="55"/>
        <v>3</v>
      </c>
      <c r="I590" s="17" t="s">
        <v>2182</v>
      </c>
      <c r="J590" s="19">
        <f t="shared" si="56"/>
        <v>16</v>
      </c>
      <c r="K590" s="18" t="s">
        <v>27</v>
      </c>
      <c r="L590" s="18" t="s">
        <v>28</v>
      </c>
      <c r="M590" s="27">
        <v>0</v>
      </c>
      <c r="N590" s="27">
        <v>1</v>
      </c>
      <c r="O590" s="28" t="str">
        <f t="shared" si="57"/>
        <v>不校正</v>
      </c>
      <c r="P590" s="18" t="s">
        <v>2183</v>
      </c>
      <c r="Q590" s="18" t="s">
        <v>159</v>
      </c>
      <c r="R590" s="18" t="s">
        <v>160</v>
      </c>
      <c r="S590" s="18"/>
    </row>
    <row r="591" spans="1:19" ht="36" customHeight="1">
      <c r="A591" s="17" t="s">
        <v>2184</v>
      </c>
      <c r="B591" s="30" t="s">
        <v>2169</v>
      </c>
      <c r="C591" s="30" t="s">
        <v>2170</v>
      </c>
      <c r="D591" s="30" t="s">
        <v>2181</v>
      </c>
      <c r="E591" s="18" t="s">
        <v>81</v>
      </c>
      <c r="F591" s="30" t="s">
        <v>2177</v>
      </c>
      <c r="G591" s="17" t="s">
        <v>260</v>
      </c>
      <c r="H591" s="19">
        <f t="shared" si="55"/>
        <v>3</v>
      </c>
      <c r="I591" s="17" t="s">
        <v>2185</v>
      </c>
      <c r="J591" s="19">
        <f t="shared" si="56"/>
        <v>5</v>
      </c>
      <c r="K591" s="18" t="s">
        <v>27</v>
      </c>
      <c r="L591" s="18" t="s">
        <v>28</v>
      </c>
      <c r="M591" s="27">
        <v>0</v>
      </c>
      <c r="N591" s="27">
        <v>1</v>
      </c>
      <c r="O591" s="28" t="str">
        <f t="shared" si="57"/>
        <v>不校正</v>
      </c>
      <c r="P591" s="18" t="s">
        <v>2186</v>
      </c>
      <c r="Q591" s="18" t="s">
        <v>159</v>
      </c>
      <c r="R591" s="18" t="s">
        <v>160</v>
      </c>
      <c r="S591" s="18"/>
    </row>
    <row r="592" spans="1:19" ht="36" customHeight="1">
      <c r="A592" s="17" t="s">
        <v>2187</v>
      </c>
      <c r="B592" s="30" t="s">
        <v>2169</v>
      </c>
      <c r="C592" s="30" t="s">
        <v>2188</v>
      </c>
      <c r="D592" s="30" t="s">
        <v>2171</v>
      </c>
      <c r="E592" s="18" t="s">
        <v>23</v>
      </c>
      <c r="F592" s="30" t="s">
        <v>2172</v>
      </c>
      <c r="G592" s="17" t="s">
        <v>2189</v>
      </c>
      <c r="H592" s="19">
        <f t="shared" si="55"/>
        <v>5</v>
      </c>
      <c r="I592" s="17" t="s">
        <v>2190</v>
      </c>
      <c r="J592" s="19">
        <f t="shared" si="56"/>
        <v>16</v>
      </c>
      <c r="K592" s="18" t="s">
        <v>27</v>
      </c>
      <c r="L592" s="18" t="s">
        <v>28</v>
      </c>
      <c r="M592" s="27">
        <v>-0.35856858280031806</v>
      </c>
      <c r="N592" s="27">
        <v>0.40538055645894239</v>
      </c>
      <c r="O592" s="28" t="str">
        <f t="shared" si="57"/>
        <v>不校正</v>
      </c>
      <c r="P592" s="18" t="s">
        <v>2191</v>
      </c>
      <c r="Q592" s="18" t="s">
        <v>159</v>
      </c>
      <c r="R592" s="18" t="s">
        <v>160</v>
      </c>
      <c r="S592" s="18"/>
    </row>
    <row r="593" spans="1:19" ht="36" customHeight="1">
      <c r="A593" s="17" t="s">
        <v>2192</v>
      </c>
      <c r="B593" s="30" t="s">
        <v>2169</v>
      </c>
      <c r="C593" s="30" t="s">
        <v>2188</v>
      </c>
      <c r="D593" s="30" t="s">
        <v>2171</v>
      </c>
      <c r="E593" s="18" t="s">
        <v>81</v>
      </c>
      <c r="F593" s="30" t="s">
        <v>2177</v>
      </c>
      <c r="G593" s="17" t="s">
        <v>2189</v>
      </c>
      <c r="H593" s="19">
        <f t="shared" si="55"/>
        <v>5</v>
      </c>
      <c r="I593" s="17" t="s">
        <v>2193</v>
      </c>
      <c r="J593" s="19">
        <f t="shared" si="56"/>
        <v>5</v>
      </c>
      <c r="K593" s="18" t="s">
        <v>27</v>
      </c>
      <c r="L593" s="18" t="s">
        <v>28</v>
      </c>
      <c r="M593" s="27">
        <v>-0.35856858280031806</v>
      </c>
      <c r="N593" s="27">
        <v>0.40538055645894239</v>
      </c>
      <c r="O593" s="28" t="str">
        <f t="shared" si="57"/>
        <v>不校正</v>
      </c>
      <c r="P593" s="18" t="s">
        <v>2194</v>
      </c>
      <c r="Q593" s="18" t="s">
        <v>159</v>
      </c>
      <c r="R593" s="18" t="s">
        <v>160</v>
      </c>
      <c r="S593" s="18"/>
    </row>
    <row r="594" spans="1:19" ht="36" customHeight="1">
      <c r="A594" s="17" t="s">
        <v>2195</v>
      </c>
      <c r="B594" s="30" t="s">
        <v>2169</v>
      </c>
      <c r="C594" s="30" t="s">
        <v>2188</v>
      </c>
      <c r="D594" s="30" t="s">
        <v>2181</v>
      </c>
      <c r="E594" s="18" t="s">
        <v>23</v>
      </c>
      <c r="F594" s="30" t="s">
        <v>2172</v>
      </c>
      <c r="G594" s="17" t="s">
        <v>2196</v>
      </c>
      <c r="H594" s="19">
        <f t="shared" si="55"/>
        <v>5</v>
      </c>
      <c r="I594" s="17" t="s">
        <v>2197</v>
      </c>
      <c r="J594" s="19">
        <f t="shared" si="56"/>
        <v>16</v>
      </c>
      <c r="K594" s="18" t="s">
        <v>27</v>
      </c>
      <c r="L594" s="18" t="s">
        <v>28</v>
      </c>
      <c r="M594" s="27">
        <v>0</v>
      </c>
      <c r="N594" s="27">
        <v>1</v>
      </c>
      <c r="O594" s="28" t="str">
        <f t="shared" si="57"/>
        <v>不校正</v>
      </c>
      <c r="P594" s="18" t="s">
        <v>2198</v>
      </c>
      <c r="Q594" s="18" t="s">
        <v>159</v>
      </c>
      <c r="R594" s="18" t="s">
        <v>160</v>
      </c>
      <c r="S594" s="18"/>
    </row>
    <row r="595" spans="1:19" ht="36" customHeight="1">
      <c r="A595" s="17" t="s">
        <v>2199</v>
      </c>
      <c r="B595" s="30" t="s">
        <v>2169</v>
      </c>
      <c r="C595" s="30" t="s">
        <v>2188</v>
      </c>
      <c r="D595" s="30" t="s">
        <v>2181</v>
      </c>
      <c r="E595" s="18" t="s">
        <v>81</v>
      </c>
      <c r="F595" s="30" t="s">
        <v>2177</v>
      </c>
      <c r="G595" s="17" t="s">
        <v>2196</v>
      </c>
      <c r="H595" s="19">
        <f t="shared" si="55"/>
        <v>5</v>
      </c>
      <c r="I595" s="17" t="s">
        <v>2200</v>
      </c>
      <c r="J595" s="19">
        <f t="shared" si="56"/>
        <v>5</v>
      </c>
      <c r="K595" s="18" t="s">
        <v>27</v>
      </c>
      <c r="L595" s="18" t="s">
        <v>28</v>
      </c>
      <c r="M595" s="27">
        <v>0</v>
      </c>
      <c r="N595" s="27">
        <v>1</v>
      </c>
      <c r="O595" s="28" t="str">
        <f t="shared" si="57"/>
        <v>不校正</v>
      </c>
      <c r="P595" s="18" t="s">
        <v>2201</v>
      </c>
      <c r="Q595" s="18" t="s">
        <v>159</v>
      </c>
      <c r="R595" s="18" t="s">
        <v>160</v>
      </c>
      <c r="S595" s="18"/>
    </row>
    <row r="596" spans="1:19" ht="36" customHeight="1">
      <c r="A596" s="17" t="s">
        <v>2202</v>
      </c>
      <c r="B596" s="30" t="s">
        <v>2169</v>
      </c>
      <c r="C596" s="30" t="s">
        <v>2203</v>
      </c>
      <c r="D596" s="30" t="s">
        <v>2171</v>
      </c>
      <c r="E596" s="18" t="s">
        <v>23</v>
      </c>
      <c r="F596" s="30" t="s">
        <v>2172</v>
      </c>
      <c r="G596" s="22"/>
      <c r="H596" s="23"/>
      <c r="I596" s="22"/>
      <c r="J596" s="23"/>
      <c r="K596" s="18" t="s">
        <v>27</v>
      </c>
      <c r="L596" s="18" t="s">
        <v>28</v>
      </c>
      <c r="M596" s="20"/>
      <c r="N596" s="20"/>
      <c r="O596" s="21"/>
      <c r="P596" s="18" t="s">
        <v>2204</v>
      </c>
      <c r="Q596" s="18" t="s">
        <v>159</v>
      </c>
      <c r="R596" s="24" t="s">
        <v>94</v>
      </c>
      <c r="S596" s="18" t="s">
        <v>2205</v>
      </c>
    </row>
    <row r="597" spans="1:19" ht="36" customHeight="1">
      <c r="A597" s="17" t="s">
        <v>2206</v>
      </c>
      <c r="B597" s="30" t="s">
        <v>2169</v>
      </c>
      <c r="C597" s="30" t="s">
        <v>2203</v>
      </c>
      <c r="D597" s="30" t="s">
        <v>2171</v>
      </c>
      <c r="E597" s="18" t="s">
        <v>81</v>
      </c>
      <c r="F597" s="30" t="s">
        <v>2177</v>
      </c>
      <c r="G597" s="22"/>
      <c r="H597" s="23"/>
      <c r="I597" s="22"/>
      <c r="J597" s="23"/>
      <c r="K597" s="18" t="s">
        <v>27</v>
      </c>
      <c r="L597" s="18" t="s">
        <v>28</v>
      </c>
      <c r="M597" s="20"/>
      <c r="N597" s="20"/>
      <c r="O597" s="21"/>
      <c r="P597" s="18" t="s">
        <v>2207</v>
      </c>
      <c r="Q597" s="18" t="s">
        <v>159</v>
      </c>
      <c r="R597" s="24" t="s">
        <v>94</v>
      </c>
      <c r="S597" s="18" t="s">
        <v>2208</v>
      </c>
    </row>
    <row r="598" spans="1:19" ht="36" customHeight="1">
      <c r="A598" s="17" t="s">
        <v>2209</v>
      </c>
      <c r="B598" s="30" t="s">
        <v>2169</v>
      </c>
      <c r="C598" s="30" t="s">
        <v>2203</v>
      </c>
      <c r="D598" s="30" t="s">
        <v>2181</v>
      </c>
      <c r="E598" s="18" t="s">
        <v>23</v>
      </c>
      <c r="F598" s="30" t="s">
        <v>2172</v>
      </c>
      <c r="G598" s="22"/>
      <c r="H598" s="23"/>
      <c r="I598" s="22"/>
      <c r="J598" s="23"/>
      <c r="K598" s="18" t="s">
        <v>27</v>
      </c>
      <c r="L598" s="18" t="s">
        <v>28</v>
      </c>
      <c r="M598" s="20"/>
      <c r="N598" s="20"/>
      <c r="O598" s="21"/>
      <c r="P598" s="18" t="s">
        <v>2210</v>
      </c>
      <c r="Q598" s="18" t="s">
        <v>159</v>
      </c>
      <c r="R598" s="24" t="s">
        <v>94</v>
      </c>
      <c r="S598" s="18" t="s">
        <v>2205</v>
      </c>
    </row>
    <row r="599" spans="1:19" ht="36" customHeight="1">
      <c r="A599" s="17" t="s">
        <v>2211</v>
      </c>
      <c r="B599" s="30" t="s">
        <v>2169</v>
      </c>
      <c r="C599" s="30" t="s">
        <v>2203</v>
      </c>
      <c r="D599" s="30" t="s">
        <v>2181</v>
      </c>
      <c r="E599" s="18" t="s">
        <v>81</v>
      </c>
      <c r="F599" s="30" t="s">
        <v>2177</v>
      </c>
      <c r="G599" s="22"/>
      <c r="H599" s="23"/>
      <c r="I599" s="22"/>
      <c r="J599" s="23"/>
      <c r="K599" s="18" t="s">
        <v>27</v>
      </c>
      <c r="L599" s="18" t="s">
        <v>28</v>
      </c>
      <c r="M599" s="20"/>
      <c r="N599" s="20"/>
      <c r="O599" s="21"/>
      <c r="P599" s="18" t="s">
        <v>2212</v>
      </c>
      <c r="Q599" s="18" t="s">
        <v>159</v>
      </c>
      <c r="R599" s="24" t="s">
        <v>94</v>
      </c>
      <c r="S599" s="18" t="s">
        <v>2208</v>
      </c>
    </row>
  </sheetData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两段数据对照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1017998069@qq.com</cp:lastModifiedBy>
  <dcterms:modified xsi:type="dcterms:W3CDTF">2026-10-26T18:59:23Z</dcterms:modified>
</cp:coreProperties>
</file>