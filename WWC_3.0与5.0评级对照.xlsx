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汇总" sheetId="1" state="visible" r:id="rId3"/>
    <sheet name="单一被试" sheetId="2" state="visible" r:id="rId4"/>
    <sheet name="组间设计" sheetId="3" state="visible" r:id="rId5"/>
  </sheets>
  <definedNames>
    <definedName function="false" hidden="true" localSheetId="1" name="_xlnm._FilterDatabase" vbProcedure="false">单一被试!$A$1:$L$46</definedName>
    <definedName function="false" hidden="true" localSheetId="2" name="_xlnm._FilterDatabase" vbProcedure="false">组间设计!$A$1:$J$10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<sst xmlns="http://schemas.openxmlformats.org/spreadsheetml/2006/main" count="676" uniqueCount="355">
  <si>
    <r>
      <rPr>
        <b val="true"/>
        <sz val="13"/>
        <rFont val="Arial"/>
        <family val="0"/>
        <charset val="1"/>
      </rPr>
      <t xml:space="preserve">WWC 3.0 </t>
    </r>
    <r>
      <rPr>
        <b val="true"/>
        <sz val="13"/>
        <rFont val="WenQuanYi Zen Hei"/>
        <family val="2"/>
      </rPr>
      <t xml:space="preserve">与 </t>
    </r>
    <r>
      <rPr>
        <b val="true"/>
        <sz val="13"/>
        <rFont val="Arial"/>
        <family val="0"/>
        <charset val="1"/>
      </rPr>
      <t xml:space="preserve">5.0 </t>
    </r>
    <r>
      <rPr>
        <b val="true"/>
        <sz val="13"/>
        <rFont val="WenQuanYi Zen Hei"/>
        <family val="2"/>
      </rPr>
      <t xml:space="preserve">评级对照汇总</t>
    </r>
  </si>
  <si>
    <r>
      <rPr>
        <sz val="10"/>
        <rFont val="WenQuanYi Zen Hei"/>
        <family val="2"/>
      </rPr>
      <t xml:space="preserve">单一被试共 </t>
    </r>
    <r>
      <rPr>
        <sz val="10"/>
        <rFont val="Arial"/>
        <family val="0"/>
        <charset val="1"/>
      </rPr>
      <t xml:space="preserve">45 </t>
    </r>
    <r>
      <rPr>
        <sz val="10"/>
        <rFont val="WenQuanYi Zen Hei"/>
        <family val="2"/>
      </rPr>
      <t xml:space="preserve">篇（</t>
    </r>
    <r>
      <rPr>
        <sz val="10"/>
        <rFont val="Arial"/>
        <family val="0"/>
        <charset val="1"/>
      </rPr>
      <t xml:space="preserve">A</t>
    </r>
    <r>
      <rPr>
        <sz val="10"/>
        <rFont val="WenQuanYi Zen Hei"/>
        <family val="2"/>
      </rPr>
      <t xml:space="preserve">组</t>
    </r>
    <r>
      <rPr>
        <sz val="10"/>
        <rFont val="Arial"/>
        <family val="0"/>
        <charset val="1"/>
      </rPr>
      <t xml:space="preserve">43</t>
    </r>
    <r>
      <rPr>
        <sz val="10"/>
        <rFont val="WenQuanYi Zen Hei"/>
        <family val="2"/>
      </rPr>
      <t xml:space="preserve">篇 </t>
    </r>
    <r>
      <rPr>
        <sz val="10"/>
        <rFont val="Arial"/>
        <family val="0"/>
        <charset val="1"/>
      </rPr>
      <t xml:space="preserve">+ </t>
    </r>
    <r>
      <rPr>
        <sz val="10"/>
        <rFont val="WenQuanYi Zen Hei"/>
        <family val="2"/>
      </rPr>
      <t xml:space="preserve">户秀美</t>
    </r>
    <r>
      <rPr>
        <sz val="10"/>
        <rFont val="Arial"/>
        <family val="0"/>
        <charset val="1"/>
      </rPr>
      <t xml:space="preserve">2025</t>
    </r>
    <r>
      <rPr>
        <sz val="10"/>
        <rFont val="WenQuanYi Zen Hei"/>
        <family val="2"/>
      </rPr>
      <t xml:space="preserve">、张晓敏</t>
    </r>
    <r>
      <rPr>
        <sz val="10"/>
        <rFont val="Arial"/>
        <family val="0"/>
        <charset val="1"/>
      </rPr>
      <t xml:space="preserve">2026</t>
    </r>
    <r>
      <rPr>
        <sz val="10"/>
        <rFont val="WenQuanYi Zen Hei"/>
        <family val="2"/>
      </rPr>
      <t xml:space="preserve">）；组间设计共 </t>
    </r>
    <r>
      <rPr>
        <sz val="10"/>
        <rFont val="Arial"/>
        <family val="0"/>
        <charset val="1"/>
      </rPr>
      <t xml:space="preserve">9 </t>
    </r>
    <r>
      <rPr>
        <sz val="10"/>
        <rFont val="WenQuanYi Zen Hei"/>
        <family val="2"/>
      </rPr>
      <t xml:space="preserve">篇（</t>
    </r>
    <r>
      <rPr>
        <sz val="10"/>
        <rFont val="Arial"/>
        <family val="0"/>
        <charset val="1"/>
      </rPr>
      <t xml:space="preserve">B</t>
    </r>
    <r>
      <rPr>
        <sz val="10"/>
        <rFont val="WenQuanYi Zen Hei"/>
        <family val="2"/>
      </rPr>
      <t xml:space="preserve">组</t>
    </r>
    <r>
      <rPr>
        <sz val="10"/>
        <rFont val="Arial"/>
        <family val="0"/>
        <charset val="1"/>
      </rPr>
      <t xml:space="preserve">8</t>
    </r>
    <r>
      <rPr>
        <sz val="10"/>
        <rFont val="WenQuanYi Zen Hei"/>
        <family val="2"/>
      </rPr>
      <t xml:space="preserve">篇 </t>
    </r>
    <r>
      <rPr>
        <sz val="10"/>
        <rFont val="Arial"/>
        <family val="0"/>
        <charset val="1"/>
      </rPr>
      <t xml:space="preserve">+ </t>
    </r>
    <r>
      <rPr>
        <sz val="10"/>
        <rFont val="WenQuanYi Zen Hei"/>
        <family val="2"/>
      </rPr>
      <t xml:space="preserve">沙鹏</t>
    </r>
    <r>
      <rPr>
        <sz val="10"/>
        <rFont val="Arial"/>
        <family val="0"/>
        <charset val="1"/>
      </rPr>
      <t xml:space="preserve">2023</t>
    </r>
    <r>
      <rPr>
        <sz val="10"/>
        <rFont val="WenQuanYi Zen Hei"/>
        <family val="2"/>
      </rPr>
      <t xml:space="preserve">）。计数均由公式从后两张表自动统计。视觉分析的证据评级为初判，需第二评分者核对。</t>
    </r>
  </si>
  <si>
    <t xml:space="preserve">一、单一被试：各版本评级篇数</t>
  </si>
  <si>
    <t xml:space="preserve">评级</t>
  </si>
  <si>
    <t xml:space="preserve">3.0</t>
  </si>
  <si>
    <t xml:space="preserve">5.0</t>
  </si>
  <si>
    <t xml:space="preserve">无保留</t>
  </si>
  <si>
    <t xml:space="preserve">有保留</t>
  </si>
  <si>
    <t xml:space="preserve">不达标</t>
  </si>
  <si>
    <r>
      <rPr>
        <b val="true"/>
        <sz val="10"/>
        <rFont val="WenQuanYi Zen Hei"/>
        <family val="2"/>
      </rPr>
      <t xml:space="preserve">达标合计（无保留</t>
    </r>
    <r>
      <rPr>
        <b val="true"/>
        <sz val="10"/>
        <rFont val="Arial"/>
        <family val="0"/>
        <charset val="1"/>
      </rPr>
      <t xml:space="preserve">+</t>
    </r>
    <r>
      <rPr>
        <b val="true"/>
        <sz val="10"/>
        <rFont val="WenQuanYi Zen Hei"/>
        <family val="2"/>
      </rPr>
      <t xml:space="preserve">有保留）</t>
    </r>
  </si>
  <si>
    <r>
      <rPr>
        <sz val="10"/>
        <rFont val="WenQuanYi Zen Hei"/>
        <family val="2"/>
      </rPr>
      <t xml:space="preserve">两版评级一致 </t>
    </r>
    <r>
      <rPr>
        <sz val="10"/>
        <rFont val="Arial"/>
        <family val="0"/>
        <charset val="1"/>
      </rPr>
      <t xml:space="preserve">/ </t>
    </r>
    <r>
      <rPr>
        <sz val="10"/>
        <rFont val="WenQuanYi Zen Hei"/>
        <family val="2"/>
      </rPr>
      <t xml:space="preserve">不一致</t>
    </r>
  </si>
  <si>
    <t xml:space="preserve">←左：一致；右：不一致</t>
  </si>
  <si>
    <r>
      <rPr>
        <b val="true"/>
        <sz val="10"/>
        <rFont val="WenQuanYi Zen Hei"/>
        <family val="2"/>
      </rPr>
      <t xml:space="preserve">二、单一被试：</t>
    </r>
    <r>
      <rPr>
        <b val="true"/>
        <sz val="10"/>
        <rFont val="Arial"/>
        <family val="0"/>
        <charset val="1"/>
      </rPr>
      <t xml:space="preserve">3.0</t>
    </r>
    <r>
      <rPr>
        <b val="true"/>
        <sz val="10"/>
        <rFont val="WenQuanYi Zen Hei"/>
        <family val="2"/>
      </rPr>
      <t xml:space="preserve">（行）</t>
    </r>
    <r>
      <rPr>
        <b val="true"/>
        <sz val="10"/>
        <rFont val="Arial"/>
        <family val="0"/>
        <charset val="1"/>
      </rPr>
      <t xml:space="preserve">× 5.0</t>
    </r>
    <r>
      <rPr>
        <b val="true"/>
        <sz val="10"/>
        <rFont val="WenQuanYi Zen Hei"/>
        <family val="2"/>
      </rPr>
      <t xml:space="preserve">（列）交叉表</t>
    </r>
  </si>
  <si>
    <t xml:space="preserve">3.0 \ 5.0</t>
  </si>
  <si>
    <t xml:space="preserve">合计</t>
  </si>
  <si>
    <r>
      <rPr>
        <b val="true"/>
        <sz val="10"/>
        <rFont val="WenQuanYi Zen Hei"/>
        <family val="2"/>
      </rPr>
      <t xml:space="preserve">三、</t>
    </r>
    <r>
      <rPr>
        <b val="true"/>
        <sz val="10"/>
        <rFont val="Arial"/>
        <family val="0"/>
        <charset val="1"/>
      </rPr>
      <t xml:space="preserve">3.0 </t>
    </r>
    <r>
      <rPr>
        <b val="true"/>
        <sz val="10"/>
        <rFont val="WenQuanYi Zen Hei"/>
        <family val="2"/>
      </rPr>
      <t xml:space="preserve">证据评级（仅</t>
    </r>
    <r>
      <rPr>
        <b val="true"/>
        <sz val="10"/>
        <rFont val="Arial"/>
        <family val="0"/>
        <charset val="1"/>
      </rPr>
      <t xml:space="preserve">3.0</t>
    </r>
    <r>
      <rPr>
        <b val="true"/>
        <sz val="10"/>
        <rFont val="WenQuanYi Zen Hei"/>
        <family val="2"/>
      </rPr>
      <t xml:space="preserve">达标的研究，视觉分析初判）</t>
    </r>
  </si>
  <si>
    <t xml:space="preserve">证据等级</t>
  </si>
  <si>
    <t xml:space="preserve">篇数</t>
  </si>
  <si>
    <t xml:space="preserve">强证据</t>
  </si>
  <si>
    <t xml:space="preserve">中等证据</t>
  </si>
  <si>
    <r>
      <rPr>
        <sz val="10"/>
        <rFont val="WenQuanYi Zen Hei"/>
        <family val="2"/>
      </rPr>
      <t xml:space="preserve">按条件分别评定（</t>
    </r>
    <r>
      <rPr>
        <sz val="10"/>
        <rFont val="Arial"/>
        <family val="0"/>
        <charset val="1"/>
      </rPr>
      <t xml:space="preserve">008A</t>
    </r>
    <r>
      <rPr>
        <sz val="10"/>
        <rFont val="WenQuanYi Zen Hei"/>
        <family val="2"/>
      </rPr>
      <t xml:space="preserve">交替处理：加重毯无证据、工作盒强证据）</t>
    </r>
  </si>
  <si>
    <r>
      <rPr>
        <b val="true"/>
        <sz val="10"/>
        <rFont val="WenQuanYi Zen Hei"/>
        <family val="2"/>
      </rPr>
      <t xml:space="preserve">四、组间设计：评级篇数（</t>
    </r>
    <r>
      <rPr>
        <b val="true"/>
        <sz val="10"/>
        <rFont val="Arial"/>
        <family val="0"/>
        <charset val="1"/>
      </rPr>
      <t xml:space="preserve">3.0</t>
    </r>
    <r>
      <rPr>
        <b val="true"/>
        <sz val="10"/>
        <rFont val="WenQuanYi Zen Hei"/>
        <family val="2"/>
      </rPr>
      <t xml:space="preserve">与</t>
    </r>
    <r>
      <rPr>
        <b val="true"/>
        <sz val="10"/>
        <rFont val="Arial"/>
        <family val="0"/>
        <charset val="1"/>
      </rPr>
      <t xml:space="preserve">5.0</t>
    </r>
    <r>
      <rPr>
        <b val="true"/>
        <sz val="10"/>
        <rFont val="WenQuanYi Zen Hei"/>
        <family val="2"/>
      </rPr>
      <t xml:space="preserve">结果相同，差别只在流失边界的选择）</t>
    </r>
  </si>
  <si>
    <r>
      <rPr>
        <b val="true"/>
        <sz val="10"/>
        <color rgb="FFFFFFFF"/>
        <rFont val="WenQuanYi Zen Hei"/>
        <family val="2"/>
      </rPr>
      <t xml:space="preserve">宽松</t>
    </r>
    <r>
      <rPr>
        <b val="true"/>
        <sz val="10"/>
        <color rgb="FFFFFFFF"/>
        <rFont val="Arial"/>
        <family val="0"/>
        <charset val="1"/>
      </rPr>
      <t xml:space="preserve">/</t>
    </r>
    <r>
      <rPr>
        <b val="true"/>
        <sz val="10"/>
        <color rgb="FFFFFFFF"/>
        <rFont val="WenQuanYi Zen Hei"/>
        <family val="2"/>
      </rPr>
      <t xml:space="preserve">乐观边界</t>
    </r>
  </si>
  <si>
    <r>
      <rPr>
        <b val="true"/>
        <sz val="10"/>
        <color rgb="FFFFFFFF"/>
        <rFont val="WenQuanYi Zen Hei"/>
        <family val="2"/>
      </rPr>
      <t xml:space="preserve">保守</t>
    </r>
    <r>
      <rPr>
        <b val="true"/>
        <sz val="10"/>
        <color rgb="FFFFFFFF"/>
        <rFont val="Arial"/>
        <family val="0"/>
        <charset val="1"/>
      </rPr>
      <t xml:space="preserve">/</t>
    </r>
    <r>
      <rPr>
        <b val="true"/>
        <sz val="10"/>
        <color rgb="FFFFFFFF"/>
        <rFont val="WenQuanYi Zen Hei"/>
        <family val="2"/>
      </rPr>
      <t xml:space="preserve">谨慎边界</t>
    </r>
  </si>
  <si>
    <t xml:space="preserve">达标合计</t>
  </si>
  <si>
    <t xml:space="preserve">五、两版结果不一致的原因（单一被试）</t>
  </si>
  <si>
    <t xml:space="preserve">原因</t>
  </si>
  <si>
    <t xml:space="preserve">涉及研究</t>
  </si>
  <si>
    <t xml:space="preserve">变化方向</t>
  </si>
  <si>
    <r>
      <rPr>
        <sz val="10"/>
        <rFont val="Arial"/>
        <family val="0"/>
        <charset val="1"/>
      </rPr>
      <t xml:space="preserve">5.0 </t>
    </r>
    <r>
      <rPr>
        <sz val="10"/>
        <rFont val="WenQuanYi Zen Hei"/>
        <family val="2"/>
      </rPr>
      <t xml:space="preserve">要求首个基线≥</t>
    </r>
    <r>
      <rPr>
        <sz val="10"/>
        <rFont val="Arial"/>
        <family val="0"/>
        <charset val="1"/>
      </rPr>
      <t xml:space="preserve">6</t>
    </r>
    <r>
      <rPr>
        <sz val="10"/>
        <rFont val="WenQuanYi Zen Hei"/>
        <family val="2"/>
      </rPr>
      <t xml:space="preserve">个数据点才能</t>
    </r>
    <r>
      <rPr>
        <sz val="10"/>
        <rFont val="Arial"/>
        <family val="0"/>
        <charset val="1"/>
      </rPr>
      <t xml:space="preserve">"</t>
    </r>
    <r>
      <rPr>
        <sz val="10"/>
        <rFont val="WenQuanYi Zen Hei"/>
        <family val="2"/>
      </rPr>
      <t xml:space="preserve">无保留</t>
    </r>
    <r>
      <rPr>
        <sz val="10"/>
        <rFont val="Arial"/>
        <family val="0"/>
        <charset val="1"/>
      </rPr>
      <t xml:space="preserve">"</t>
    </r>
    <r>
      <rPr>
        <sz val="10"/>
        <rFont val="WenQuanYi Zen Hei"/>
        <family val="2"/>
      </rPr>
      <t xml:space="preserve">（</t>
    </r>
    <r>
      <rPr>
        <sz val="10"/>
        <rFont val="Arial"/>
        <family val="0"/>
        <charset val="1"/>
      </rPr>
      <t xml:space="preserve">3.0 </t>
    </r>
    <r>
      <rPr>
        <sz val="10"/>
        <rFont val="WenQuanYi Zen Hei"/>
        <family val="2"/>
      </rPr>
      <t xml:space="preserve">是每阶段≥</t>
    </r>
    <r>
      <rPr>
        <sz val="10"/>
        <rFont val="Arial"/>
        <family val="0"/>
        <charset val="1"/>
      </rPr>
      <t xml:space="preserve">5</t>
    </r>
    <r>
      <rPr>
        <sz val="10"/>
        <rFont val="WenQuanYi Zen Hei"/>
        <family val="2"/>
      </rPr>
      <t xml:space="preserve">点）</t>
    </r>
  </si>
  <si>
    <r>
      <rPr>
        <sz val="10"/>
        <rFont val="Arial"/>
        <family val="0"/>
        <charset val="1"/>
      </rPr>
      <t xml:space="preserve">005A</t>
    </r>
    <r>
      <rPr>
        <sz val="10"/>
        <rFont val="WenQuanYi Zen Hei"/>
        <family val="2"/>
      </rPr>
      <t xml:space="preserve">、</t>
    </r>
    <r>
      <rPr>
        <sz val="10"/>
        <rFont val="Arial"/>
        <family val="0"/>
        <charset val="1"/>
      </rPr>
      <t xml:space="preserve">007A</t>
    </r>
    <r>
      <rPr>
        <sz val="10"/>
        <rFont val="WenQuanYi Zen Hei"/>
        <family val="2"/>
      </rPr>
      <t xml:space="preserve">、</t>
    </r>
    <r>
      <rPr>
        <sz val="10"/>
        <rFont val="Arial"/>
        <family val="0"/>
        <charset val="1"/>
      </rPr>
      <t xml:space="preserve">027A</t>
    </r>
    <r>
      <rPr>
        <sz val="10"/>
        <rFont val="WenQuanYi Zen Hei"/>
        <family val="2"/>
      </rPr>
      <t xml:space="preserve">、</t>
    </r>
    <r>
      <rPr>
        <sz val="10"/>
        <rFont val="Arial"/>
        <family val="0"/>
        <charset val="1"/>
      </rPr>
      <t xml:space="preserve">029A</t>
    </r>
    <r>
      <rPr>
        <sz val="10"/>
        <rFont val="WenQuanYi Zen Hei"/>
        <family val="2"/>
      </rPr>
      <t xml:space="preserve">、</t>
    </r>
    <r>
      <rPr>
        <sz val="10"/>
        <rFont val="Arial"/>
        <family val="0"/>
        <charset val="1"/>
      </rPr>
      <t xml:space="preserve">032A</t>
    </r>
    <r>
      <rPr>
        <sz val="10"/>
        <rFont val="WenQuanYi Zen Hei"/>
        <family val="2"/>
      </rPr>
      <t xml:space="preserve">、</t>
    </r>
    <r>
      <rPr>
        <sz val="10"/>
        <rFont val="Arial"/>
        <family val="0"/>
        <charset val="1"/>
      </rPr>
      <t xml:space="preserve">037A</t>
    </r>
    <r>
      <rPr>
        <sz val="10"/>
        <rFont val="WenQuanYi Zen Hei"/>
        <family val="2"/>
      </rPr>
      <t xml:space="preserve">、</t>
    </r>
    <r>
      <rPr>
        <sz val="10"/>
        <rFont val="Arial"/>
        <family val="0"/>
        <charset val="1"/>
      </rPr>
      <t xml:space="preserve">040A</t>
    </r>
    <r>
      <rPr>
        <sz val="10"/>
        <rFont val="WenQuanYi Zen Hei"/>
        <family val="2"/>
      </rPr>
      <t xml:space="preserve">、</t>
    </r>
    <r>
      <rPr>
        <sz val="10"/>
        <rFont val="Arial"/>
        <family val="0"/>
        <charset val="1"/>
      </rPr>
      <t xml:space="preserve">043A</t>
    </r>
  </si>
  <si>
    <r>
      <rPr>
        <sz val="10"/>
        <rFont val="Arial"/>
        <family val="0"/>
        <charset val="1"/>
      </rPr>
      <t xml:space="preserve">3.0 </t>
    </r>
    <r>
      <rPr>
        <sz val="10"/>
        <rFont val="WenQuanYi Zen Hei"/>
        <family val="2"/>
      </rPr>
      <t xml:space="preserve">无保留 → </t>
    </r>
    <r>
      <rPr>
        <sz val="10"/>
        <rFont val="Arial"/>
        <family val="0"/>
        <charset val="1"/>
      </rPr>
      <t xml:space="preserve">5.0 </t>
    </r>
    <r>
      <rPr>
        <sz val="10"/>
        <rFont val="WenQuanYi Zen Hei"/>
        <family val="2"/>
      </rPr>
      <t xml:space="preserve">有保留</t>
    </r>
  </si>
  <si>
    <r>
      <rPr>
        <sz val="10"/>
        <rFont val="Arial"/>
        <family val="0"/>
        <charset val="1"/>
      </rPr>
      <t xml:space="preserve">5.0 </t>
    </r>
    <r>
      <rPr>
        <sz val="10"/>
        <rFont val="WenQuanYi Zen Hei"/>
        <family val="2"/>
      </rPr>
      <t xml:space="preserve">新增</t>
    </r>
    <r>
      <rPr>
        <sz val="10"/>
        <rFont val="Arial"/>
        <family val="0"/>
        <charset val="1"/>
      </rPr>
      <t xml:space="preserve">"</t>
    </r>
    <r>
      <rPr>
        <sz val="10"/>
        <rFont val="WenQuanYi Zen Hei"/>
        <family val="2"/>
      </rPr>
      <t xml:space="preserve">最小治疗方向基线趋势</t>
    </r>
    <r>
      <rPr>
        <sz val="10"/>
        <rFont val="Arial"/>
        <family val="0"/>
        <charset val="1"/>
      </rPr>
      <t xml:space="preserve">"</t>
    </r>
    <r>
      <rPr>
        <sz val="10"/>
        <rFont val="WenQuanYi Zen Hei"/>
        <family val="2"/>
      </rPr>
      <t xml:space="preserve">检查（初始基线后</t>
    </r>
    <r>
      <rPr>
        <sz val="10"/>
        <rFont val="Arial"/>
        <family val="0"/>
        <charset val="1"/>
      </rPr>
      <t xml:space="preserve">3</t>
    </r>
    <r>
      <rPr>
        <sz val="10"/>
        <rFont val="WenQuanYi Zen Hei"/>
        <family val="2"/>
      </rPr>
      <t xml:space="preserve">点与其余点比较，</t>
    </r>
    <r>
      <rPr>
        <sz val="10"/>
        <rFont val="Arial"/>
        <family val="0"/>
        <charset val="1"/>
      </rPr>
      <t xml:space="preserve">NAP&gt;.85</t>
    </r>
    <r>
      <rPr>
        <sz val="10"/>
        <rFont val="WenQuanYi Zen Hei"/>
        <family val="2"/>
      </rPr>
      <t xml:space="preserve">即不合格）</t>
    </r>
  </si>
  <si>
    <t xml:space="preserve">002A</t>
  </si>
  <si>
    <r>
      <rPr>
        <sz val="10"/>
        <rFont val="Arial"/>
        <family val="0"/>
        <charset val="1"/>
      </rPr>
      <t xml:space="preserve">5.0 </t>
    </r>
    <r>
      <rPr>
        <sz val="10"/>
        <rFont val="WenQuanYi Zen Hei"/>
        <family val="2"/>
      </rPr>
      <t xml:space="preserve">多探测设计要求首</t>
    </r>
    <r>
      <rPr>
        <sz val="10"/>
        <rFont val="Arial"/>
        <family val="0"/>
        <charset val="1"/>
      </rPr>
      <t xml:space="preserve">3</t>
    </r>
    <r>
      <rPr>
        <sz val="10"/>
        <rFont val="WenQuanYi Zen Hei"/>
        <family val="2"/>
      </rPr>
      <t xml:space="preserve">次会话内至少有一次所有层</t>
    </r>
    <r>
      <rPr>
        <sz val="10"/>
        <rFont val="Arial"/>
        <family val="0"/>
        <charset val="1"/>
      </rPr>
      <t xml:space="preserve">"</t>
    </r>
    <r>
      <rPr>
        <sz val="10"/>
        <rFont val="WenQuanYi Zen Hei"/>
        <family val="2"/>
      </rPr>
      <t xml:space="preserve">垂直重叠</t>
    </r>
    <r>
      <rPr>
        <sz val="10"/>
        <rFont val="Arial"/>
        <family val="0"/>
        <charset val="1"/>
      </rPr>
      <t xml:space="preserve">"</t>
    </r>
    <r>
      <rPr>
        <sz val="10"/>
        <rFont val="WenQuanYi Zen Hei"/>
        <family val="2"/>
      </rPr>
      <t xml:space="preserve">（</t>
    </r>
    <r>
      <rPr>
        <sz val="10"/>
        <rFont val="Arial"/>
        <family val="0"/>
        <charset val="1"/>
      </rPr>
      <t xml:space="preserve">3.0 </t>
    </r>
    <r>
      <rPr>
        <sz val="10"/>
        <rFont val="WenQuanYi Zen Hei"/>
        <family val="2"/>
      </rPr>
      <t xml:space="preserve">只要求每层各有</t>
    </r>
    <r>
      <rPr>
        <sz val="10"/>
        <rFont val="Arial"/>
        <family val="0"/>
        <charset val="1"/>
      </rPr>
      <t xml:space="preserve">1</t>
    </r>
    <r>
      <rPr>
        <sz val="10"/>
        <rFont val="WenQuanYi Zen Hei"/>
        <family val="2"/>
      </rPr>
      <t xml:space="preserve">个探测点）</t>
    </r>
  </si>
  <si>
    <t xml:space="preserve">012A</t>
  </si>
  <si>
    <r>
      <rPr>
        <sz val="10"/>
        <rFont val="Arial"/>
        <family val="0"/>
        <charset val="1"/>
      </rPr>
      <t xml:space="preserve">3.0 </t>
    </r>
    <r>
      <rPr>
        <sz val="10"/>
        <rFont val="WenQuanYi Zen Hei"/>
        <family val="2"/>
      </rPr>
      <t xml:space="preserve">有保留 → </t>
    </r>
    <r>
      <rPr>
        <sz val="10"/>
        <rFont val="Arial"/>
        <family val="0"/>
        <charset val="1"/>
      </rPr>
      <t xml:space="preserve">5.0 </t>
    </r>
    <r>
      <rPr>
        <sz val="10"/>
        <rFont val="WenQuanYi Zen Hei"/>
        <family val="2"/>
      </rPr>
      <t xml:space="preserve">不达标</t>
    </r>
  </si>
  <si>
    <r>
      <rPr>
        <sz val="10"/>
        <rFont val="Arial"/>
        <family val="0"/>
        <charset val="1"/>
      </rPr>
      <t xml:space="preserve">5.0 </t>
    </r>
    <r>
      <rPr>
        <sz val="10"/>
        <rFont val="WenQuanYi Zen Hei"/>
        <family val="2"/>
      </rPr>
      <t xml:space="preserve">新增</t>
    </r>
    <r>
      <rPr>
        <sz val="10"/>
        <rFont val="Arial"/>
        <family val="0"/>
        <charset val="1"/>
      </rPr>
      <t xml:space="preserve">"</t>
    </r>
    <r>
      <rPr>
        <sz val="10"/>
        <rFont val="WenQuanYi Zen Hei"/>
        <family val="2"/>
      </rPr>
      <t xml:space="preserve">其他单一被试设计</t>
    </r>
    <r>
      <rPr>
        <sz val="10"/>
        <rFont val="Arial"/>
        <family val="0"/>
        <charset val="1"/>
      </rPr>
      <t xml:space="preserve">"</t>
    </r>
    <r>
      <rPr>
        <sz val="10"/>
        <rFont val="WenQuanYi Zen Hei"/>
        <family val="2"/>
      </rPr>
      <t xml:space="preserve">条款，可按公认规范评定手册未列出的设计（</t>
    </r>
    <r>
      <rPr>
        <sz val="10"/>
        <rFont val="Arial"/>
        <family val="0"/>
        <charset val="1"/>
      </rPr>
      <t xml:space="preserve">3.0 </t>
    </r>
    <r>
      <rPr>
        <sz val="10"/>
        <rFont val="WenQuanYi Zen Hei"/>
        <family val="2"/>
      </rPr>
      <t xml:space="preserve">只认撤回、多基线</t>
    </r>
    <r>
      <rPr>
        <sz val="10"/>
        <rFont val="Arial"/>
        <family val="0"/>
        <charset val="1"/>
      </rPr>
      <t xml:space="preserve">/</t>
    </r>
    <r>
      <rPr>
        <sz val="10"/>
        <rFont val="WenQuanYi Zen Hei"/>
        <family val="2"/>
      </rPr>
      <t xml:space="preserve">多探测、交替处理）</t>
    </r>
  </si>
  <si>
    <r>
      <rPr>
        <sz val="10"/>
        <rFont val="Arial"/>
        <family val="0"/>
        <charset val="1"/>
      </rPr>
      <t xml:space="preserve">017A</t>
    </r>
    <r>
      <rPr>
        <sz val="10"/>
        <rFont val="WenQuanYi Zen Hei"/>
        <family val="2"/>
      </rPr>
      <t xml:space="preserve">（重复习得设计）</t>
    </r>
  </si>
  <si>
    <r>
      <rPr>
        <sz val="10"/>
        <rFont val="Arial"/>
        <family val="0"/>
        <charset val="1"/>
      </rPr>
      <t xml:space="preserve">3.0 </t>
    </r>
    <r>
      <rPr>
        <sz val="10"/>
        <rFont val="WenQuanYi Zen Hei"/>
        <family val="2"/>
      </rPr>
      <t xml:space="preserve">不达标 → </t>
    </r>
    <r>
      <rPr>
        <sz val="10"/>
        <rFont val="Arial"/>
        <family val="0"/>
        <charset val="1"/>
      </rPr>
      <t xml:space="preserve">5.0 </t>
    </r>
    <r>
      <rPr>
        <sz val="10"/>
        <rFont val="WenQuanYi Zen Hei"/>
        <family val="2"/>
      </rPr>
      <t xml:space="preserve">有保留</t>
    </r>
  </si>
  <si>
    <r>
      <rPr>
        <sz val="10"/>
        <rFont val="Arial"/>
        <family val="0"/>
        <charset val="1"/>
      </rPr>
      <t xml:space="preserve">5.0 </t>
    </r>
    <r>
      <rPr>
        <sz val="10"/>
        <rFont val="WenQuanYi Zen Hei"/>
        <family val="2"/>
      </rPr>
      <t xml:space="preserve">新增零变异例外：≥</t>
    </r>
    <r>
      <rPr>
        <sz val="10"/>
        <rFont val="Arial"/>
        <family val="0"/>
        <charset val="1"/>
      </rPr>
      <t xml:space="preserve">3</t>
    </r>
    <r>
      <rPr>
        <sz val="10"/>
        <rFont val="WenQuanYi Zen Hei"/>
        <family val="2"/>
      </rPr>
      <t xml:space="preserve">个完全相同的数据点即可视为数据量足够</t>
    </r>
  </si>
  <si>
    <t xml:space="preserve">046A</t>
  </si>
  <si>
    <r>
      <rPr>
        <sz val="10"/>
        <rFont val="Arial"/>
        <family val="0"/>
        <charset val="1"/>
      </rPr>
      <t xml:space="preserve">3.0 </t>
    </r>
    <r>
      <rPr>
        <sz val="10"/>
        <rFont val="WenQuanYi Zen Hei"/>
        <family val="2"/>
      </rPr>
      <t xml:space="preserve">有保留 → </t>
    </r>
    <r>
      <rPr>
        <sz val="10"/>
        <rFont val="Arial"/>
        <family val="0"/>
        <charset val="1"/>
      </rPr>
      <t xml:space="preserve">5.0 </t>
    </r>
    <r>
      <rPr>
        <sz val="10"/>
        <rFont val="WenQuanYi Zen Hei"/>
        <family val="2"/>
      </rPr>
      <t xml:space="preserve">无保留</t>
    </r>
  </si>
  <si>
    <t xml:space="preserve">六、两版共同的不达标原因（单一被试，两版均不达标）</t>
  </si>
  <si>
    <r>
      <rPr>
        <sz val="10"/>
        <rFont val="WenQuanYi Zen Hei"/>
        <family val="2"/>
      </rPr>
      <t xml:space="preserve">多探测设计的探测点要求不满足（首</t>
    </r>
    <r>
      <rPr>
        <sz val="10"/>
        <rFont val="Arial"/>
        <family val="0"/>
        <charset val="1"/>
      </rPr>
      <t xml:space="preserve">3</t>
    </r>
    <r>
      <rPr>
        <sz val="10"/>
        <rFont val="WenQuanYi Zen Hei"/>
        <family val="2"/>
      </rPr>
      <t xml:space="preserve">次会话无探测点、他层进入干预时无探测点等）：</t>
    </r>
    <r>
      <rPr>
        <sz val="10"/>
        <rFont val="Arial"/>
        <family val="0"/>
        <charset val="1"/>
      </rPr>
      <t xml:space="preserve">015A</t>
    </r>
    <r>
      <rPr>
        <sz val="10"/>
        <rFont val="WenQuanYi Zen Hei"/>
        <family val="2"/>
      </rPr>
      <t xml:space="preserve">、</t>
    </r>
    <r>
      <rPr>
        <sz val="10"/>
        <rFont val="Arial"/>
        <family val="0"/>
        <charset val="1"/>
      </rPr>
      <t xml:space="preserve">023A</t>
    </r>
    <r>
      <rPr>
        <sz val="10"/>
        <rFont val="WenQuanYi Zen Hei"/>
        <family val="2"/>
      </rPr>
      <t xml:space="preserve">、</t>
    </r>
    <r>
      <rPr>
        <sz val="10"/>
        <rFont val="Arial"/>
        <family val="0"/>
        <charset val="1"/>
      </rPr>
      <t xml:space="preserve">034A</t>
    </r>
    <r>
      <rPr>
        <sz val="10"/>
        <rFont val="WenQuanYi Zen Hei"/>
        <family val="2"/>
      </rPr>
      <t xml:space="preserve">、</t>
    </r>
    <r>
      <rPr>
        <sz val="10"/>
        <rFont val="Arial"/>
        <family val="0"/>
        <charset val="1"/>
      </rPr>
      <t xml:space="preserve">038A</t>
    </r>
    <r>
      <rPr>
        <sz val="10"/>
        <rFont val="WenQuanYi Zen Hei"/>
        <family val="2"/>
      </rPr>
      <t xml:space="preserve">、</t>
    </r>
    <r>
      <rPr>
        <sz val="10"/>
        <rFont val="Arial"/>
        <family val="0"/>
        <charset val="1"/>
      </rPr>
      <t xml:space="preserve">045A</t>
    </r>
  </si>
  <si>
    <r>
      <rPr>
        <sz val="10"/>
        <rFont val="WenQuanYi Zen Hei"/>
        <family val="2"/>
      </rPr>
      <t xml:space="preserve">基线或干预阶段≤</t>
    </r>
    <r>
      <rPr>
        <sz val="10"/>
        <rFont val="Arial"/>
        <family val="0"/>
        <charset val="1"/>
      </rPr>
      <t xml:space="preserve">2</t>
    </r>
    <r>
      <rPr>
        <sz val="10"/>
        <rFont val="WenQuanYi Zen Hei"/>
        <family val="2"/>
      </rPr>
      <t xml:space="preserve">个数据点：</t>
    </r>
    <r>
      <rPr>
        <sz val="10"/>
        <rFont val="Arial"/>
        <family val="0"/>
        <charset val="1"/>
      </rPr>
      <t xml:space="preserve">031A</t>
    </r>
  </si>
  <si>
    <r>
      <rPr>
        <sz val="10"/>
        <rFont val="WenQuanYi Zen Hei"/>
        <family val="2"/>
      </rPr>
      <t xml:space="preserve">观察者一致性未覆盖每一阶段：</t>
    </r>
    <r>
      <rPr>
        <sz val="10"/>
        <rFont val="Arial"/>
        <family val="0"/>
        <charset val="1"/>
      </rPr>
      <t xml:space="preserve">014A</t>
    </r>
  </si>
  <si>
    <r>
      <rPr>
        <sz val="10"/>
        <rFont val="WenQuanYi Zen Hei"/>
        <family val="2"/>
      </rPr>
      <t xml:space="preserve">非同时多基线：</t>
    </r>
    <r>
      <rPr>
        <sz val="10"/>
        <rFont val="Arial"/>
        <family val="0"/>
        <charset val="1"/>
      </rPr>
      <t xml:space="preserve">041A</t>
    </r>
  </si>
  <si>
    <r>
      <rPr>
        <sz val="10"/>
        <rFont val="WenQuanYi Zen Hei"/>
        <family val="2"/>
      </rPr>
      <t xml:space="preserve">设计类型无法提供</t>
    </r>
    <r>
      <rPr>
        <sz val="10"/>
        <rFont val="Arial"/>
        <family val="0"/>
        <charset val="1"/>
      </rPr>
      <t xml:space="preserve">3</t>
    </r>
    <r>
      <rPr>
        <sz val="10"/>
        <rFont val="WenQuanYi Zen Hei"/>
        <family val="2"/>
      </rPr>
      <t xml:space="preserve">次效果展示（变换条件设计）：</t>
    </r>
    <r>
      <rPr>
        <sz val="10"/>
        <rFont val="Arial"/>
        <family val="0"/>
        <charset val="1"/>
      </rPr>
      <t xml:space="preserve">026A</t>
    </r>
  </si>
  <si>
    <t xml:space="preserve">七、评定时采用的操作规则（建议写入方法部分）</t>
  </si>
  <si>
    <r>
      <rPr>
        <sz val="10"/>
        <rFont val="Arial"/>
        <family val="0"/>
        <charset val="1"/>
      </rPr>
      <t xml:space="preserve">1. </t>
    </r>
    <r>
      <rPr>
        <sz val="10"/>
        <rFont val="WenQuanYi Zen Hei"/>
        <family val="2"/>
      </rPr>
      <t xml:space="preserve">评定单位：每篇研究取其主要结局所在的设计；同一研究含多个设计时，以评级最高的设计作为该研究的评级，其余设计的问题写在不达标条目中。</t>
    </r>
  </si>
  <si>
    <r>
      <rPr>
        <sz val="10"/>
        <rFont val="Arial"/>
        <family val="0"/>
        <charset val="1"/>
      </rPr>
      <t xml:space="preserve">2. </t>
    </r>
    <r>
      <rPr>
        <sz val="10"/>
        <rFont val="WenQuanYi Zen Hei"/>
        <family val="2"/>
      </rPr>
      <t xml:space="preserve">观察者一致性：作者报告比例≥</t>
    </r>
    <r>
      <rPr>
        <sz val="10"/>
        <rFont val="Arial"/>
        <family val="0"/>
        <charset val="1"/>
      </rPr>
      <t xml:space="preserve">20%</t>
    </r>
    <r>
      <rPr>
        <sz val="10"/>
        <rFont val="WenQuanYi Zen Hei"/>
        <family val="2"/>
      </rPr>
      <t xml:space="preserve">且一致性≥</t>
    </r>
    <r>
      <rPr>
        <sz val="10"/>
        <rFont val="Arial"/>
        <family val="0"/>
        <charset val="1"/>
      </rPr>
      <t xml:space="preserve">80%</t>
    </r>
    <r>
      <rPr>
        <sz val="10"/>
        <rFont val="WenQuanYi Zen Hei"/>
        <family val="2"/>
      </rPr>
      <t xml:space="preserve">（</t>
    </r>
    <r>
      <rPr>
        <sz val="10"/>
        <rFont val="Arial"/>
        <family val="0"/>
        <charset val="1"/>
      </rPr>
      <t xml:space="preserve">kappa≥.60</t>
    </r>
    <r>
      <rPr>
        <sz val="10"/>
        <rFont val="WenQuanYi Zen Hei"/>
        <family val="2"/>
      </rPr>
      <t xml:space="preserve">）、未明确说明某阶段缺失即视为满足；作者明确说明某阶段未收集（如</t>
    </r>
    <r>
      <rPr>
        <sz val="10"/>
        <rFont val="Arial"/>
        <family val="0"/>
        <charset val="1"/>
      </rPr>
      <t xml:space="preserve">014A</t>
    </r>
    <r>
      <rPr>
        <sz val="10"/>
        <rFont val="WenQuanYi Zen Hei"/>
        <family val="2"/>
      </rPr>
      <t xml:space="preserve">）则不满足。</t>
    </r>
  </si>
  <si>
    <r>
      <rPr>
        <sz val="10"/>
        <rFont val="Arial"/>
        <family val="0"/>
        <charset val="1"/>
      </rPr>
      <t xml:space="preserve">3. </t>
    </r>
    <r>
      <rPr>
        <sz val="10"/>
        <rFont val="WenQuanYi Zen Hei"/>
        <family val="2"/>
      </rPr>
      <t xml:space="preserve">多探测</t>
    </r>
    <r>
      <rPr>
        <sz val="10"/>
        <rFont val="Arial"/>
        <family val="0"/>
        <charset val="1"/>
      </rPr>
      <t xml:space="preserve">"</t>
    </r>
    <r>
      <rPr>
        <sz val="10"/>
        <rFont val="WenQuanYi Zen Hei"/>
        <family val="2"/>
      </rPr>
      <t xml:space="preserve">他层进入干预时须有探测点</t>
    </r>
    <r>
      <rPr>
        <sz val="10"/>
        <rFont val="Arial"/>
        <family val="0"/>
        <charset val="1"/>
      </rPr>
      <t xml:space="preserve">"</t>
    </r>
    <r>
      <rPr>
        <sz val="10"/>
        <rFont val="WenQuanYi Zen Hei"/>
        <family val="2"/>
      </rPr>
      <t xml:space="preserve">：未干预层在其他层首次干预的会话（</t>
    </r>
    <r>
      <rPr>
        <sz val="10"/>
        <rFont val="Arial"/>
        <family val="0"/>
        <charset val="1"/>
      </rPr>
      <t xml:space="preserve">±1</t>
    </r>
    <r>
      <rPr>
        <sz val="10"/>
        <rFont val="WenQuanYi Zen Hei"/>
        <family val="2"/>
      </rPr>
      <t xml:space="preserve">次）或其达到作者预设标准时有探测点即视为满足。</t>
    </r>
  </si>
  <si>
    <r>
      <rPr>
        <sz val="10"/>
        <rFont val="Arial"/>
        <family val="0"/>
        <charset val="1"/>
      </rPr>
      <t xml:space="preserve">4. </t>
    </r>
    <r>
      <rPr>
        <sz val="10"/>
        <rFont val="WenQuanYi Zen Hei"/>
        <family val="2"/>
      </rPr>
      <t xml:space="preserve">组间设计流失边界：</t>
    </r>
    <r>
      <rPr>
        <sz val="10"/>
        <rFont val="Arial"/>
        <family val="0"/>
        <charset val="1"/>
      </rPr>
      <t xml:space="preserve">3.0 </t>
    </r>
    <r>
      <rPr>
        <sz val="10"/>
        <rFont val="WenQuanYi Zen Hei"/>
        <family val="2"/>
      </rPr>
      <t xml:space="preserve">由主题方案规定宽松或保守；</t>
    </r>
    <r>
      <rPr>
        <sz val="10"/>
        <rFont val="Arial"/>
        <family val="0"/>
        <charset val="1"/>
      </rPr>
      <t xml:space="preserve">5.0 </t>
    </r>
    <r>
      <rPr>
        <sz val="10"/>
        <rFont val="WenQuanYi Zen Hei"/>
        <family val="2"/>
      </rPr>
      <t xml:space="preserve">由评审团队选择，有疑问时默认谨慎边界。两种边界的结果都列出（</t>
    </r>
    <r>
      <rPr>
        <sz val="10"/>
        <rFont val="Arial"/>
        <family val="0"/>
        <charset val="1"/>
      </rPr>
      <t xml:space="preserve">002B</t>
    </r>
    <r>
      <rPr>
        <sz val="10"/>
        <rFont val="WenQuanYi Zen Hei"/>
        <family val="2"/>
      </rPr>
      <t xml:space="preserve">、</t>
    </r>
    <r>
      <rPr>
        <sz val="10"/>
        <rFont val="Arial"/>
        <family val="0"/>
        <charset val="1"/>
      </rPr>
      <t xml:space="preserve">007B </t>
    </r>
    <r>
      <rPr>
        <sz val="10"/>
        <rFont val="WenQuanYi Zen Hei"/>
        <family val="2"/>
      </rPr>
      <t xml:space="preserve">受影响）。</t>
    </r>
  </si>
  <si>
    <r>
      <rPr>
        <sz val="10"/>
        <rFont val="Arial"/>
        <family val="0"/>
        <charset val="1"/>
      </rPr>
      <t xml:space="preserve">5. </t>
    </r>
    <r>
      <rPr>
        <sz val="10"/>
        <rFont val="WenQuanYi Zen Hei"/>
        <family val="2"/>
      </rPr>
      <t xml:space="preserve">证据评级（</t>
    </r>
    <r>
      <rPr>
        <sz val="10"/>
        <rFont val="Arial"/>
        <family val="0"/>
        <charset val="1"/>
      </rPr>
      <t xml:space="preserve">3.0 </t>
    </r>
    <r>
      <rPr>
        <sz val="10"/>
        <rFont val="WenQuanYi Zen Hei"/>
        <family val="2"/>
      </rPr>
      <t xml:space="preserve">独有）为本次视觉分析初判，正式使用前需由第二名评分者独立评定并报告一致率；</t>
    </r>
    <r>
      <rPr>
        <sz val="10"/>
        <rFont val="Arial"/>
        <family val="0"/>
        <charset val="1"/>
      </rPr>
      <t xml:space="preserve">5.0 </t>
    </r>
    <r>
      <rPr>
        <sz val="10"/>
        <rFont val="WenQuanYi Zen Hei"/>
        <family val="2"/>
      </rPr>
      <t xml:space="preserve">不再做此步骤。</t>
    </r>
  </si>
  <si>
    <r>
      <rPr>
        <sz val="10"/>
        <rFont val="Arial"/>
        <family val="0"/>
        <charset val="1"/>
      </rPr>
      <t xml:space="preserve">6. </t>
    </r>
    <r>
      <rPr>
        <sz val="10"/>
        <rFont val="WenQuanYi Zen Hei"/>
        <family val="2"/>
      </rPr>
      <t xml:space="preserve">仅部分被试为</t>
    </r>
    <r>
      <rPr>
        <sz val="10"/>
        <rFont val="Arial"/>
        <family val="0"/>
        <charset val="1"/>
      </rPr>
      <t xml:space="preserve">ASD</t>
    </r>
    <r>
      <rPr>
        <sz val="10"/>
        <rFont val="WenQuanYi Zen Hei"/>
        <family val="2"/>
      </rPr>
      <t xml:space="preserve">的研究（</t>
    </r>
    <r>
      <rPr>
        <sz val="10"/>
        <rFont val="Arial"/>
        <family val="0"/>
        <charset val="1"/>
      </rPr>
      <t xml:space="preserve">002A</t>
    </r>
    <r>
      <rPr>
        <sz val="10"/>
        <rFont val="WenQuanYi Zen Hei"/>
        <family val="2"/>
      </rPr>
      <t xml:space="preserve">、</t>
    </r>
    <r>
      <rPr>
        <sz val="10"/>
        <rFont val="Arial"/>
        <family val="0"/>
        <charset val="1"/>
      </rPr>
      <t xml:space="preserve">007A</t>
    </r>
    <r>
      <rPr>
        <sz val="10"/>
        <rFont val="WenQuanYi Zen Hei"/>
        <family val="2"/>
      </rPr>
      <t xml:space="preserve">、</t>
    </r>
    <r>
      <rPr>
        <sz val="10"/>
        <rFont val="Arial"/>
        <family val="0"/>
        <charset val="1"/>
      </rPr>
      <t xml:space="preserve">012A</t>
    </r>
    <r>
      <rPr>
        <sz val="10"/>
        <rFont val="WenQuanYi Zen Hei"/>
        <family val="2"/>
      </rPr>
      <t xml:space="preserve">、</t>
    </r>
    <r>
      <rPr>
        <sz val="10"/>
        <rFont val="Arial"/>
        <family val="0"/>
        <charset val="1"/>
      </rPr>
      <t xml:space="preserve">029A</t>
    </r>
    <r>
      <rPr>
        <sz val="10"/>
        <rFont val="WenQuanYi Zen Hei"/>
        <family val="2"/>
      </rPr>
      <t xml:space="preserve">、</t>
    </r>
    <r>
      <rPr>
        <sz val="10"/>
        <rFont val="Arial"/>
        <family val="0"/>
        <charset val="1"/>
      </rPr>
      <t xml:space="preserve">032A</t>
    </r>
    <r>
      <rPr>
        <sz val="10"/>
        <rFont val="WenQuanYi Zen Hei"/>
        <family val="2"/>
      </rPr>
      <t xml:space="preserve">、</t>
    </r>
    <r>
      <rPr>
        <sz val="10"/>
        <rFont val="Arial"/>
        <family val="0"/>
        <charset val="1"/>
      </rPr>
      <t xml:space="preserve">033A</t>
    </r>
    <r>
      <rPr>
        <sz val="10"/>
        <rFont val="WenQuanYi Zen Hei"/>
        <family val="2"/>
      </rPr>
      <t xml:space="preserve">、</t>
    </r>
    <r>
      <rPr>
        <sz val="10"/>
        <rFont val="Arial"/>
        <family val="0"/>
        <charset val="1"/>
      </rPr>
      <t xml:space="preserve">036A</t>
    </r>
    <r>
      <rPr>
        <sz val="10"/>
        <rFont val="WenQuanYi Zen Hei"/>
        <family val="2"/>
      </rPr>
      <t xml:space="preserve">、</t>
    </r>
    <r>
      <rPr>
        <sz val="10"/>
        <rFont val="Arial"/>
        <family val="0"/>
        <charset val="1"/>
      </rPr>
      <t xml:space="preserve">046A</t>
    </r>
    <r>
      <rPr>
        <sz val="10"/>
        <rFont val="WenQuanYi Zen Hei"/>
        <family val="2"/>
      </rPr>
      <t xml:space="preserve">、</t>
    </r>
    <r>
      <rPr>
        <sz val="10"/>
        <rFont val="Arial"/>
        <family val="0"/>
        <charset val="1"/>
      </rPr>
      <t xml:space="preserve">002B</t>
    </r>
    <r>
      <rPr>
        <sz val="10"/>
        <rFont val="WenQuanYi Zen Hei"/>
        <family val="2"/>
      </rPr>
      <t xml:space="preserve">等），</t>
    </r>
    <r>
      <rPr>
        <sz val="10"/>
        <rFont val="Arial"/>
        <family val="0"/>
        <charset val="1"/>
      </rPr>
      <t xml:space="preserve">WWC</t>
    </r>
    <r>
      <rPr>
        <sz val="10"/>
        <rFont val="WenQuanYi Zen Hei"/>
        <family val="2"/>
      </rPr>
      <t xml:space="preserve">评级针对整个设计；元分析只提取</t>
    </r>
    <r>
      <rPr>
        <sz val="10"/>
        <rFont val="Arial"/>
        <family val="0"/>
        <charset val="1"/>
      </rPr>
      <t xml:space="preserve">ASD</t>
    </r>
    <r>
      <rPr>
        <sz val="10"/>
        <rFont val="WenQuanYi Zen Hei"/>
        <family val="2"/>
      </rPr>
      <t xml:space="preserve">被试数据。</t>
    </r>
  </si>
  <si>
    <t xml:space="preserve">文件</t>
  </si>
  <si>
    <t xml:space="preserve">设计</t>
  </si>
  <si>
    <r>
      <rPr>
        <b val="true"/>
        <sz val="10"/>
        <color rgb="FFFFFFFF"/>
        <rFont val="Arial"/>
        <family val="0"/>
        <charset val="1"/>
      </rPr>
      <t xml:space="preserve">3.0 </t>
    </r>
    <r>
      <rPr>
        <b val="true"/>
        <sz val="10"/>
        <color rgb="FFFFFFFF"/>
        <rFont val="WenQuanYi Zen Hei"/>
        <family val="2"/>
      </rPr>
      <t xml:space="preserve">评级</t>
    </r>
  </si>
  <si>
    <r>
      <rPr>
        <b val="true"/>
        <sz val="10"/>
        <color rgb="FFFFFFFF"/>
        <rFont val="Arial"/>
        <family val="0"/>
        <charset val="1"/>
      </rPr>
      <t xml:space="preserve">3.0 </t>
    </r>
    <r>
      <rPr>
        <b val="true"/>
        <sz val="10"/>
        <color rgb="FFFFFFFF"/>
        <rFont val="WenQuanYi Zen Hei"/>
        <family val="2"/>
      </rPr>
      <t xml:space="preserve">不达标条目</t>
    </r>
  </si>
  <si>
    <r>
      <rPr>
        <b val="true"/>
        <sz val="10"/>
        <color rgb="FFFFFFFF"/>
        <rFont val="Arial"/>
        <family val="0"/>
        <charset val="1"/>
      </rPr>
      <t xml:space="preserve">5.0 </t>
    </r>
    <r>
      <rPr>
        <b val="true"/>
        <sz val="10"/>
        <color rgb="FFFFFFFF"/>
        <rFont val="WenQuanYi Zen Hei"/>
        <family val="2"/>
      </rPr>
      <t xml:space="preserve">评级</t>
    </r>
  </si>
  <si>
    <r>
      <rPr>
        <b val="true"/>
        <sz val="10"/>
        <color rgb="FFFFFFFF"/>
        <rFont val="Arial"/>
        <family val="0"/>
        <charset val="1"/>
      </rPr>
      <t xml:space="preserve">5.0 </t>
    </r>
    <r>
      <rPr>
        <b val="true"/>
        <sz val="10"/>
        <color rgb="FFFFFFFF"/>
        <rFont val="WenQuanYi Zen Hei"/>
        <family val="2"/>
      </rPr>
      <t xml:space="preserve">不达标条目</t>
    </r>
  </si>
  <si>
    <t xml:space="preserve">两版不一致的原因</t>
  </si>
  <si>
    <r>
      <rPr>
        <b val="true"/>
        <sz val="10"/>
        <color rgb="FFFFFFFF"/>
        <rFont val="Arial"/>
        <family val="0"/>
        <charset val="1"/>
      </rPr>
      <t xml:space="preserve">3.0 </t>
    </r>
    <r>
      <rPr>
        <b val="true"/>
        <sz val="10"/>
        <color rgb="FFFFFFFF"/>
        <rFont val="WenQuanYi Zen Hei"/>
        <family val="2"/>
      </rPr>
      <t xml:space="preserve">证据评级（视觉分析，初判）</t>
    </r>
  </si>
  <si>
    <t xml:space="preserve">备注</t>
  </si>
  <si>
    <r>
      <rPr>
        <b val="true"/>
        <sz val="10"/>
        <color rgb="FFFFFFFF"/>
        <rFont val="Arial"/>
        <family val="0"/>
        <charset val="1"/>
      </rPr>
      <t xml:space="preserve">3.0</t>
    </r>
    <r>
      <rPr>
        <b val="true"/>
        <sz val="10"/>
        <color rgb="FFFFFFFF"/>
        <rFont val="WenQuanYi Zen Hei"/>
        <family val="2"/>
      </rPr>
      <t xml:space="preserve">类别</t>
    </r>
  </si>
  <si>
    <r>
      <rPr>
        <b val="true"/>
        <sz val="10"/>
        <color rgb="FFFFFFFF"/>
        <rFont val="Arial"/>
        <family val="0"/>
        <charset val="1"/>
      </rPr>
      <t xml:space="preserve">5.0</t>
    </r>
    <r>
      <rPr>
        <b val="true"/>
        <sz val="10"/>
        <color rgb="FFFFFFFF"/>
        <rFont val="WenQuanYi Zen Hei"/>
        <family val="2"/>
      </rPr>
      <t xml:space="preserve">类别</t>
    </r>
  </si>
  <si>
    <t xml:space="preserve">两版是否一致</t>
  </si>
  <si>
    <r>
      <rPr>
        <sz val="10"/>
        <rFont val="Arial"/>
        <family val="0"/>
        <charset val="1"/>
      </rPr>
      <t xml:space="preserve">001-A </t>
    </r>
    <r>
      <rPr>
        <sz val="10"/>
        <rFont val="WenQuanYi Zen Hei"/>
        <family val="2"/>
      </rPr>
      <t xml:space="preserve">多成分同伴介入干预对孤独症谱系障碍学前儿童社会沟通的影响</t>
    </r>
  </si>
  <si>
    <r>
      <rPr>
        <sz val="10"/>
        <rFont val="WenQuanYi Zen Hei"/>
        <family val="2"/>
      </rPr>
      <t xml:space="preserve">多探测</t>
    </r>
    <r>
      <rPr>
        <sz val="10"/>
        <rFont val="Arial"/>
        <family val="0"/>
        <charset val="1"/>
      </rPr>
      <t xml:space="preserve">(3</t>
    </r>
    <r>
      <rPr>
        <sz val="10"/>
        <rFont val="WenQuanYi Zen Hei"/>
        <family val="2"/>
      </rPr>
      <t xml:space="preserve">对</t>
    </r>
    <r>
      <rPr>
        <sz val="10"/>
        <rFont val="Arial"/>
        <family val="0"/>
        <charset val="1"/>
      </rPr>
      <t xml:space="preserve">)</t>
    </r>
  </si>
  <si>
    <r>
      <rPr>
        <sz val="10"/>
        <rFont val="Arial"/>
        <family val="0"/>
        <charset val="1"/>
      </rPr>
      <t xml:space="preserve">Olin</t>
    </r>
    <r>
      <rPr>
        <sz val="10"/>
        <rFont val="WenQuanYi Zen Hei"/>
        <family val="2"/>
      </rPr>
      <t xml:space="preserve">、</t>
    </r>
    <r>
      <rPr>
        <sz val="10"/>
        <rFont val="Arial"/>
        <family val="0"/>
        <charset val="1"/>
      </rPr>
      <t xml:space="preserve">Titus</t>
    </r>
    <r>
      <rPr>
        <sz val="10"/>
        <rFont val="WenQuanYi Zen Hei"/>
        <family val="2"/>
      </rPr>
      <t xml:space="preserve">干预前</t>
    </r>
    <r>
      <rPr>
        <sz val="10"/>
        <rFont val="Arial"/>
        <family val="0"/>
        <charset val="1"/>
      </rPr>
      <t xml:space="preserve">3</t>
    </r>
    <r>
      <rPr>
        <sz val="10"/>
        <rFont val="WenQuanYi Zen Hei"/>
        <family val="2"/>
      </rPr>
      <t xml:space="preserve">次会话内仅</t>
    </r>
    <r>
      <rPr>
        <sz val="10"/>
        <rFont val="Arial"/>
        <family val="0"/>
        <charset val="1"/>
      </rPr>
      <t xml:space="preserve">2</t>
    </r>
    <r>
      <rPr>
        <sz val="10"/>
        <rFont val="WenQuanYi Zen Hei"/>
        <family val="2"/>
      </rPr>
      <t xml:space="preserve">个探测点</t>
    </r>
  </si>
  <si>
    <r>
      <rPr>
        <sz val="10"/>
        <rFont val="WenQuanYi Zen Hei"/>
        <family val="2"/>
      </rPr>
      <t xml:space="preserve">同左（干预前未连续</t>
    </r>
    <r>
      <rPr>
        <sz val="10"/>
        <rFont val="Arial"/>
        <family val="0"/>
        <charset val="1"/>
      </rPr>
      <t xml:space="preserve">3</t>
    </r>
    <r>
      <rPr>
        <sz val="10"/>
        <rFont val="WenQuanYi Zen Hei"/>
        <family val="2"/>
      </rPr>
      <t xml:space="preserve">个探测点）</t>
    </r>
  </si>
  <si>
    <t xml:space="preserve">—</t>
  </si>
  <si>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Wilmer</t>
    </r>
    <r>
      <rPr>
        <sz val="10"/>
        <rFont val="WenQuanYi Zen Hei"/>
        <family val="2"/>
      </rPr>
      <t xml:space="preserve">效果滞后</t>
    </r>
    <r>
      <rPr>
        <sz val="10"/>
        <rFont val="Arial"/>
        <family val="0"/>
        <charset val="1"/>
      </rPr>
      <t xml:space="preserve">)</t>
    </r>
  </si>
  <si>
    <r>
      <rPr>
        <sz val="10"/>
        <rFont val="Arial"/>
        <family val="0"/>
        <charset val="1"/>
      </rPr>
      <t xml:space="preserve">IOA 30%</t>
    </r>
    <r>
      <rPr>
        <sz val="10"/>
        <rFont val="WenQuanYi Zen Hei"/>
        <family val="2"/>
      </rPr>
      <t xml:space="preserve">，社交发起</t>
    </r>
    <r>
      <rPr>
        <sz val="10"/>
        <rFont val="Arial"/>
        <family val="0"/>
        <charset val="1"/>
      </rPr>
      <t xml:space="preserve">87%</t>
    </r>
    <r>
      <rPr>
        <sz val="10"/>
        <rFont val="WenQuanYi Zen Hei"/>
        <family val="2"/>
      </rPr>
      <t xml:space="preserve">；无脚本言语</t>
    </r>
    <r>
      <rPr>
        <sz val="10"/>
        <rFont val="Arial"/>
        <family val="0"/>
        <charset val="1"/>
      </rPr>
      <t xml:space="preserve">IOA 75%</t>
    </r>
    <r>
      <rPr>
        <sz val="10"/>
        <rFont val="WenQuanYi Zen Hei"/>
        <family val="2"/>
      </rPr>
      <t xml:space="preserve">不达标（次要结局）</t>
    </r>
  </si>
  <si>
    <r>
      <rPr>
        <b val="true"/>
        <sz val="10"/>
        <rFont val="Arial"/>
        <family val="0"/>
        <charset val="1"/>
      </rPr>
      <t xml:space="preserve">002-A </t>
    </r>
    <r>
      <rPr>
        <b val="true"/>
        <sz val="10"/>
        <rFont val="WenQuanYi Zen Hei"/>
        <family val="2"/>
      </rPr>
      <t xml:space="preserve">学前课堂中的同伴介入共同注意干预</t>
    </r>
  </si>
  <si>
    <r>
      <rPr>
        <sz val="10"/>
        <rFont val="WenQuanYi Zen Hei"/>
        <family val="2"/>
      </rPr>
      <t xml:space="preserve">设计</t>
    </r>
    <r>
      <rPr>
        <sz val="10"/>
        <rFont val="Arial"/>
        <family val="0"/>
        <charset val="1"/>
      </rPr>
      <t xml:space="preserve">1</t>
    </r>
    <r>
      <rPr>
        <sz val="10"/>
        <rFont val="WenQuanYi Zen Hei"/>
        <family val="2"/>
      </rPr>
      <t xml:space="preserve">多基线</t>
    </r>
    <r>
      <rPr>
        <sz val="10"/>
        <rFont val="Arial"/>
        <family val="0"/>
        <charset val="1"/>
      </rPr>
      <t xml:space="preserve">(4</t>
    </r>
    <r>
      <rPr>
        <sz val="10"/>
        <rFont val="WenQuanYi Zen Hei"/>
        <family val="2"/>
      </rPr>
      <t xml:space="preserve">人</t>
    </r>
    <r>
      <rPr>
        <sz val="10"/>
        <rFont val="Arial"/>
        <family val="0"/>
        <charset val="1"/>
      </rPr>
      <t xml:space="preserve">)+</t>
    </r>
    <r>
      <rPr>
        <sz val="10"/>
        <rFont val="WenQuanYi Zen Hei"/>
        <family val="2"/>
      </rPr>
      <t xml:space="preserve">设计</t>
    </r>
    <r>
      <rPr>
        <sz val="10"/>
        <rFont val="Arial"/>
        <family val="0"/>
        <charset val="1"/>
      </rPr>
      <t xml:space="preserve">2</t>
    </r>
    <r>
      <rPr>
        <sz val="10"/>
        <rFont val="WenQuanYi Zen Hei"/>
        <family val="2"/>
      </rPr>
      <t xml:space="preserve">多探测</t>
    </r>
    <r>
      <rPr>
        <sz val="10"/>
        <rFont val="Arial"/>
        <family val="0"/>
        <charset val="1"/>
      </rPr>
      <t xml:space="preserve">(3</t>
    </r>
    <r>
      <rPr>
        <sz val="10"/>
        <rFont val="WenQuanYi Zen Hei"/>
        <family val="2"/>
      </rPr>
      <t xml:space="preserve">人</t>
    </r>
    <r>
      <rPr>
        <sz val="10"/>
        <rFont val="Arial"/>
        <family val="0"/>
        <charset val="1"/>
      </rPr>
      <t xml:space="preserve">)</t>
    </r>
  </si>
  <si>
    <r>
      <rPr>
        <sz val="10"/>
        <rFont val="WenQuanYi Zen Hei"/>
        <family val="2"/>
      </rPr>
      <t xml:space="preserve">无保留</t>
    </r>
    <r>
      <rPr>
        <sz val="10"/>
        <rFont val="Arial"/>
        <family val="0"/>
        <charset val="1"/>
      </rPr>
      <t xml:space="preserve">(</t>
    </r>
    <r>
      <rPr>
        <sz val="10"/>
        <rFont val="WenQuanYi Zen Hei"/>
        <family val="2"/>
      </rPr>
      <t xml:space="preserve">设计</t>
    </r>
    <r>
      <rPr>
        <sz val="10"/>
        <rFont val="Arial"/>
        <family val="0"/>
        <charset val="1"/>
      </rPr>
      <t xml:space="preserve">1)</t>
    </r>
  </si>
  <si>
    <r>
      <rPr>
        <sz val="10"/>
        <rFont val="WenQuanYi Zen Hei"/>
        <family val="2"/>
      </rPr>
      <t xml:space="preserve">设计</t>
    </r>
    <r>
      <rPr>
        <sz val="10"/>
        <rFont val="Arial"/>
        <family val="0"/>
        <charset val="1"/>
      </rPr>
      <t xml:space="preserve">2</t>
    </r>
    <r>
      <rPr>
        <sz val="10"/>
        <rFont val="WenQuanYi Zen Hei"/>
        <family val="2"/>
      </rPr>
      <t xml:space="preserve">：首</t>
    </r>
    <r>
      <rPr>
        <sz val="10"/>
        <rFont val="Arial"/>
        <family val="0"/>
        <charset val="1"/>
      </rPr>
      <t xml:space="preserve">3</t>
    </r>
    <r>
      <rPr>
        <sz val="10"/>
        <rFont val="WenQuanYi Zen Hei"/>
        <family val="2"/>
      </rPr>
      <t xml:space="preserve">次会话及干预前探测不足→有保留</t>
    </r>
  </si>
  <si>
    <r>
      <rPr>
        <sz val="10"/>
        <rFont val="WenQuanYi Zen Hei"/>
        <family val="2"/>
      </rPr>
      <t xml:space="preserve">设计</t>
    </r>
    <r>
      <rPr>
        <sz val="10"/>
        <rFont val="Arial"/>
        <family val="0"/>
        <charset val="1"/>
      </rPr>
      <t xml:space="preserve">1</t>
    </r>
    <r>
      <rPr>
        <sz val="10"/>
        <rFont val="WenQuanYi Zen Hei"/>
        <family val="2"/>
      </rPr>
      <t xml:space="preserve">：</t>
    </r>
    <r>
      <rPr>
        <sz val="10"/>
        <rFont val="Arial"/>
        <family val="0"/>
        <charset val="1"/>
      </rPr>
      <t xml:space="preserve">Arthur</t>
    </r>
    <r>
      <rPr>
        <sz val="10"/>
        <rFont val="WenQuanYi Zen Hei"/>
        <family val="2"/>
      </rPr>
      <t xml:space="preserve">、</t>
    </r>
    <r>
      <rPr>
        <sz val="10"/>
        <rFont val="Arial"/>
        <family val="0"/>
        <charset val="1"/>
      </rPr>
      <t xml:space="preserve">Jason</t>
    </r>
    <r>
      <rPr>
        <sz val="10"/>
        <rFont val="WenQuanYi Zen Hei"/>
        <family val="2"/>
      </rPr>
      <t xml:space="preserve">基线有治疗方向趋势</t>
    </r>
    <r>
      <rPr>
        <sz val="10"/>
        <rFont val="Arial"/>
        <family val="0"/>
        <charset val="1"/>
      </rPr>
      <t xml:space="preserve">(NAP&gt;.85)</t>
    </r>
    <r>
      <rPr>
        <sz val="10"/>
        <rFont val="WenQuanYi Zen Hei"/>
        <family val="2"/>
      </rPr>
      <t xml:space="preserve">，不满足</t>
    </r>
    <r>
      <rPr>
        <sz val="10"/>
        <rFont val="Arial"/>
        <family val="0"/>
        <charset val="1"/>
      </rPr>
      <t xml:space="preserve">"</t>
    </r>
    <r>
      <rPr>
        <sz val="10"/>
        <rFont val="WenQuanYi Zen Hei"/>
        <family val="2"/>
      </rPr>
      <t xml:space="preserve">最小基线趋势</t>
    </r>
    <r>
      <rPr>
        <sz val="10"/>
        <rFont val="Arial"/>
        <family val="0"/>
        <charset val="1"/>
      </rPr>
      <t xml:space="preserve">"</t>
    </r>
  </si>
  <si>
    <r>
      <rPr>
        <sz val="10"/>
        <rFont val="Arial"/>
        <family val="0"/>
        <charset val="1"/>
      </rPr>
      <t xml:space="preserve">5.0</t>
    </r>
    <r>
      <rPr>
        <sz val="10"/>
        <rFont val="WenQuanYi Zen Hei"/>
        <family val="2"/>
      </rPr>
      <t xml:space="preserve">新增基线趋势检查</t>
    </r>
  </si>
  <si>
    <r>
      <rPr>
        <sz val="10"/>
        <rFont val="WenQuanYi Zen Hei"/>
        <family val="2"/>
      </rPr>
      <t xml:space="preserve">强</t>
    </r>
    <r>
      <rPr>
        <sz val="10"/>
        <rFont val="Arial"/>
        <family val="0"/>
        <charset val="1"/>
      </rPr>
      <t xml:space="preserve">(</t>
    </r>
    <r>
      <rPr>
        <sz val="10"/>
        <rFont val="WenQuanYi Zen Hei"/>
        <family val="2"/>
      </rPr>
      <t xml:space="preserve">初判，设计</t>
    </r>
    <r>
      <rPr>
        <sz val="10"/>
        <rFont val="Arial"/>
        <family val="0"/>
        <charset val="1"/>
      </rPr>
      <t xml:space="preserve">1)</t>
    </r>
  </si>
  <si>
    <r>
      <rPr>
        <sz val="10"/>
        <rFont val="WenQuanYi Zen Hei"/>
        <family val="2"/>
      </rPr>
      <t xml:space="preserve">仅</t>
    </r>
    <r>
      <rPr>
        <sz val="10"/>
        <rFont val="Arial"/>
        <family val="0"/>
        <charset val="1"/>
      </rPr>
      <t xml:space="preserve">4</t>
    </r>
    <r>
      <rPr>
        <sz val="10"/>
        <rFont val="WenQuanYi Zen Hei"/>
        <family val="2"/>
      </rPr>
      <t xml:space="preserve">名按教育鉴定为</t>
    </r>
    <r>
      <rPr>
        <sz val="10"/>
        <rFont val="Arial"/>
        <family val="0"/>
        <charset val="1"/>
      </rPr>
      <t xml:space="preserve">ASD</t>
    </r>
    <r>
      <rPr>
        <sz val="10"/>
        <rFont val="WenQuanYi Zen Hei"/>
        <family val="2"/>
      </rPr>
      <t xml:space="preserve">；</t>
    </r>
    <r>
      <rPr>
        <sz val="10"/>
        <rFont val="Arial"/>
        <family val="0"/>
        <charset val="1"/>
      </rPr>
      <t xml:space="preserve">IOA</t>
    </r>
    <r>
      <rPr>
        <sz val="10"/>
        <rFont val="WenQuanYi Zen Hei"/>
        <family val="2"/>
      </rPr>
      <t xml:space="preserve">基线</t>
    </r>
    <r>
      <rPr>
        <sz val="10"/>
        <rFont val="Arial"/>
        <family val="0"/>
        <charset val="1"/>
      </rPr>
      <t xml:space="preserve">57%</t>
    </r>
    <r>
      <rPr>
        <sz val="10"/>
        <rFont val="WenQuanYi Zen Hei"/>
        <family val="2"/>
      </rPr>
      <t xml:space="preserve">、干预</t>
    </r>
    <r>
      <rPr>
        <sz val="10"/>
        <rFont val="Arial"/>
        <family val="0"/>
        <charset val="1"/>
      </rPr>
      <t xml:space="preserve">35.4%</t>
    </r>
  </si>
  <si>
    <r>
      <rPr>
        <sz val="10"/>
        <rFont val="Arial"/>
        <family val="0"/>
        <charset val="1"/>
      </rPr>
      <t xml:space="preserve">003-A </t>
    </r>
    <r>
      <rPr>
        <sz val="10"/>
        <rFont val="WenQuanYi Zen Hei"/>
        <family val="2"/>
      </rPr>
      <t xml:space="preserve">通过合作性户外游戏增加孤独症学前儿童的社会互动</t>
    </r>
  </si>
  <si>
    <r>
      <rPr>
        <sz val="10"/>
        <rFont val="WenQuanYi Zen Hei"/>
        <family val="2"/>
      </rPr>
      <t xml:space="preserve">多基线</t>
    </r>
    <r>
      <rPr>
        <sz val="10"/>
        <rFont val="Arial"/>
        <family val="0"/>
        <charset val="1"/>
      </rPr>
      <t xml:space="preserve">(3</t>
    </r>
    <r>
      <rPr>
        <sz val="10"/>
        <rFont val="WenQuanYi Zen Hei"/>
        <family val="2"/>
      </rPr>
      <t xml:space="preserve">个班</t>
    </r>
    <r>
      <rPr>
        <sz val="10"/>
        <rFont val="Arial"/>
        <family val="0"/>
        <charset val="1"/>
      </rPr>
      <t xml:space="preserve">)</t>
    </r>
  </si>
  <si>
    <r>
      <rPr>
        <sz val="10"/>
        <rFont val="Arial"/>
        <family val="0"/>
        <charset val="1"/>
      </rPr>
      <t xml:space="preserve">Pre-K</t>
    </r>
    <r>
      <rPr>
        <sz val="10"/>
        <rFont val="WenQuanYi Zen Hei"/>
        <family val="2"/>
      </rPr>
      <t xml:space="preserve">干预期仅</t>
    </r>
    <r>
      <rPr>
        <sz val="10"/>
        <rFont val="Arial"/>
        <family val="0"/>
        <charset val="1"/>
      </rPr>
      <t xml:space="preserve">4</t>
    </r>
    <r>
      <rPr>
        <sz val="10"/>
        <rFont val="WenQuanYi Zen Hei"/>
        <family val="2"/>
      </rPr>
      <t xml:space="preserve">个点</t>
    </r>
  </si>
  <si>
    <r>
      <rPr>
        <sz val="10"/>
        <rFont val="Arial"/>
        <family val="0"/>
        <charset val="1"/>
      </rPr>
      <t xml:space="preserve">Pre-K</t>
    </r>
    <r>
      <rPr>
        <sz val="10"/>
        <rFont val="WenQuanYi Zen Hei"/>
        <family val="2"/>
      </rPr>
      <t xml:space="preserve">基线</t>
    </r>
    <r>
      <rPr>
        <sz val="10"/>
        <rFont val="Arial"/>
        <family val="0"/>
        <charset val="1"/>
      </rPr>
      <t xml:space="preserve">5</t>
    </r>
    <r>
      <rPr>
        <sz val="10"/>
        <rFont val="WenQuanYi Zen Hei"/>
        <family val="2"/>
      </rPr>
      <t xml:space="preserve">点</t>
    </r>
    <r>
      <rPr>
        <sz val="10"/>
        <rFont val="Arial"/>
        <family val="0"/>
        <charset val="1"/>
      </rPr>
      <t xml:space="preserve">(&lt;6)</t>
    </r>
    <r>
      <rPr>
        <sz val="10"/>
        <rFont val="WenQuanYi Zen Hei"/>
        <family val="2"/>
      </rPr>
      <t xml:space="preserve">、干预</t>
    </r>
    <r>
      <rPr>
        <sz val="10"/>
        <rFont val="Arial"/>
        <family val="0"/>
        <charset val="1"/>
      </rPr>
      <t xml:space="preserve">4</t>
    </r>
    <r>
      <rPr>
        <sz val="10"/>
        <rFont val="WenQuanYi Zen Hei"/>
        <family val="2"/>
      </rPr>
      <t xml:space="preserve">点</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</si>
  <si>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PS</t>
    </r>
    <r>
      <rPr>
        <sz val="10"/>
        <rFont val="WenQuanYi Zen Hei"/>
        <family val="2"/>
      </rPr>
      <t xml:space="preserve">层基线波动大、重叠多</t>
    </r>
    <r>
      <rPr>
        <sz val="10"/>
        <rFont val="Arial"/>
        <family val="0"/>
        <charset val="1"/>
      </rPr>
      <t xml:space="preserve">)</t>
    </r>
  </si>
  <si>
    <r>
      <rPr>
        <sz val="10"/>
        <rFont val="Arial"/>
        <family val="0"/>
        <charset val="1"/>
      </rPr>
      <t xml:space="preserve">IOA 38%</t>
    </r>
    <r>
      <rPr>
        <sz val="10"/>
        <rFont val="WenQuanYi Zen Hei"/>
        <family val="2"/>
      </rPr>
      <t xml:space="preserve">，基线</t>
    </r>
    <r>
      <rPr>
        <sz val="10"/>
        <rFont val="Arial"/>
        <family val="0"/>
        <charset val="1"/>
      </rPr>
      <t xml:space="preserve">88%/</t>
    </r>
    <r>
      <rPr>
        <sz val="10"/>
        <rFont val="WenQuanYi Zen Hei"/>
        <family val="2"/>
      </rPr>
      <t xml:space="preserve">干预</t>
    </r>
    <r>
      <rPr>
        <sz val="10"/>
        <rFont val="Arial"/>
        <family val="0"/>
        <charset val="1"/>
      </rPr>
      <t xml:space="preserve">94%</t>
    </r>
  </si>
  <si>
    <r>
      <rPr>
        <b val="true"/>
        <sz val="10"/>
        <rFont val="Arial"/>
        <family val="0"/>
        <charset val="1"/>
      </rPr>
      <t xml:space="preserve">005-A </t>
    </r>
    <r>
      <rPr>
        <b val="true"/>
        <sz val="10"/>
        <rFont val="WenQuanYi Zen Hei"/>
        <family val="2"/>
      </rPr>
      <t xml:space="preserve">超越行为形态：关注孤独症学生社交技能训练的功能性影响</t>
    </r>
  </si>
  <si>
    <r>
      <rPr>
        <sz val="10"/>
        <rFont val="WenQuanYi Zen Hei"/>
        <family val="2"/>
      </rPr>
      <t xml:space="preserve">多基线</t>
    </r>
    <r>
      <rPr>
        <sz val="10"/>
        <rFont val="Arial"/>
        <family val="0"/>
        <charset val="1"/>
      </rPr>
      <t xml:space="preserve">(3</t>
    </r>
    <r>
      <rPr>
        <sz val="10"/>
        <rFont val="WenQuanYi Zen Hei"/>
        <family val="2"/>
      </rPr>
      <t xml:space="preserve">人</t>
    </r>
    <r>
      <rPr>
        <sz val="10"/>
        <rFont val="Arial"/>
        <family val="0"/>
        <charset val="1"/>
      </rPr>
      <t xml:space="preserve">)</t>
    </r>
  </si>
  <si>
    <r>
      <rPr>
        <sz val="10"/>
        <rFont val="Arial"/>
        <family val="0"/>
        <charset val="1"/>
      </rPr>
      <t xml:space="preserve">Juan</t>
    </r>
    <r>
      <rPr>
        <sz val="10"/>
        <rFont val="WenQuanYi Zen Hei"/>
        <family val="2"/>
      </rPr>
      <t xml:space="preserve">首个基线仅</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</si>
  <si>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Arial"/>
        <family val="0"/>
        <charset val="1"/>
      </rPr>
      <t xml:space="preserve">5.0</t>
    </r>
    <r>
      <rPr>
        <sz val="10"/>
        <rFont val="WenQuanYi Zen Hei"/>
        <family val="2"/>
      </rPr>
      <t xml:space="preserve">基线需≥</t>
    </r>
    <r>
      <rPr>
        <sz val="10"/>
        <rFont val="Arial"/>
        <family val="0"/>
        <charset val="1"/>
      </rPr>
      <t xml:space="preserve">6</t>
    </r>
    <r>
      <rPr>
        <sz val="10"/>
        <rFont val="WenQuanYi Zen Hei"/>
        <family val="2"/>
      </rPr>
      <t xml:space="preserve">点</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</si>
  <si>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Doug</t>
    </r>
    <r>
      <rPr>
        <sz val="10"/>
        <rFont val="WenQuanYi Zen Hei"/>
        <family val="2"/>
      </rPr>
      <t xml:space="preserve">、</t>
    </r>
    <r>
      <rPr>
        <sz val="10"/>
        <rFont val="Arial"/>
        <family val="0"/>
        <charset val="1"/>
      </rPr>
      <t xml:space="preserve">Elli</t>
    </r>
    <r>
      <rPr>
        <sz val="10"/>
        <rFont val="WenQuanYi Zen Hei"/>
        <family val="2"/>
      </rPr>
      <t xml:space="preserve">基线波动大且与干预期重叠</t>
    </r>
    <r>
      <rPr>
        <sz val="10"/>
        <rFont val="Arial"/>
        <family val="0"/>
        <charset val="1"/>
      </rPr>
      <t xml:space="preserve">)</t>
    </r>
  </si>
  <si>
    <r>
      <rPr>
        <sz val="10"/>
        <rFont val="Arial"/>
        <family val="0"/>
        <charset val="1"/>
      </rPr>
      <t xml:space="preserve">IOA 35%</t>
    </r>
    <r>
      <rPr>
        <sz val="10"/>
        <rFont val="WenQuanYi Zen Hei"/>
        <family val="2"/>
      </rPr>
      <t xml:space="preserve">，社交发声</t>
    </r>
    <r>
      <rPr>
        <sz val="10"/>
        <rFont val="Arial"/>
        <family val="0"/>
        <charset val="1"/>
      </rPr>
      <t xml:space="preserve">91%</t>
    </r>
    <r>
      <rPr>
        <sz val="10"/>
        <rFont val="WenQuanYi Zen Hei"/>
        <family val="2"/>
      </rPr>
      <t xml:space="preserve">；同伴回应</t>
    </r>
    <r>
      <rPr>
        <sz val="10"/>
        <rFont val="Arial"/>
        <family val="0"/>
        <charset val="1"/>
      </rPr>
      <t xml:space="preserve">IOA 74%</t>
    </r>
    <r>
      <rPr>
        <sz val="10"/>
        <rFont val="WenQuanYi Zen Hei"/>
        <family val="2"/>
      </rPr>
      <t xml:space="preserve">（次要结局）</t>
    </r>
  </si>
  <si>
    <r>
      <rPr>
        <sz val="10"/>
        <rFont val="Arial"/>
        <family val="0"/>
        <charset val="1"/>
      </rPr>
      <t xml:space="preserve">006-A </t>
    </r>
    <r>
      <rPr>
        <sz val="10"/>
        <rFont val="WenQuanYi Zen Hei"/>
        <family val="2"/>
      </rPr>
      <t xml:space="preserve">提升孤独症谱系障碍学前学生的数感理解</t>
    </r>
  </si>
  <si>
    <r>
      <rPr>
        <sz val="10"/>
        <rFont val="WenQuanYi Zen Hei"/>
        <family val="2"/>
      </rPr>
      <t xml:space="preserve">多探测</t>
    </r>
    <r>
      <rPr>
        <sz val="10"/>
        <rFont val="Arial"/>
        <family val="0"/>
        <charset val="1"/>
      </rPr>
      <t xml:space="preserve">(3</t>
    </r>
    <r>
      <rPr>
        <sz val="10"/>
        <rFont val="WenQuanYi Zen Hei"/>
        <family val="2"/>
      </rPr>
      <t xml:space="preserve">人</t>
    </r>
    <r>
      <rPr>
        <sz val="10"/>
        <rFont val="Arial"/>
        <family val="0"/>
        <charset val="1"/>
      </rPr>
      <t xml:space="preserve">)</t>
    </r>
  </si>
  <si>
    <r>
      <rPr>
        <sz val="10"/>
        <rFont val="Arial"/>
        <family val="0"/>
        <charset val="1"/>
      </rPr>
      <t xml:space="preserve">Laura</t>
    </r>
    <r>
      <rPr>
        <sz val="10"/>
        <rFont val="WenQuanYi Zen Hei"/>
        <family val="2"/>
      </rPr>
      <t xml:space="preserve">干预期仅</t>
    </r>
    <r>
      <rPr>
        <sz val="10"/>
        <rFont val="Arial"/>
        <family val="0"/>
        <charset val="1"/>
      </rPr>
      <t xml:space="preserve">4</t>
    </r>
    <r>
      <rPr>
        <sz val="10"/>
        <rFont val="WenQuanYi Zen Hei"/>
        <family val="2"/>
      </rPr>
      <t xml:space="preserve">点</t>
    </r>
  </si>
  <si>
    <r>
      <rPr>
        <sz val="10"/>
        <rFont val="WenQuanYi Zen Hei"/>
        <family val="2"/>
      </rPr>
      <t xml:space="preserve">强</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</si>
  <si>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Arial"/>
        <family val="0"/>
        <charset val="1"/>
      </rPr>
      <t xml:space="preserve">IOA 50%</t>
    </r>
    <r>
      <rPr>
        <sz val="10"/>
        <rFont val="WenQuanYi Zen Hei"/>
        <family val="2"/>
      </rPr>
      <t xml:space="preserve">探测，均≥</t>
    </r>
    <r>
      <rPr>
        <sz val="10"/>
        <rFont val="Arial"/>
        <family val="0"/>
        <charset val="1"/>
      </rPr>
      <t xml:space="preserve">95%</t>
    </r>
  </si>
  <si>
    <r>
      <rPr>
        <b val="true"/>
        <sz val="10"/>
        <rFont val="Arial"/>
        <family val="0"/>
        <charset val="1"/>
      </rPr>
      <t xml:space="preserve">007-A </t>
    </r>
    <r>
      <rPr>
        <b val="true"/>
        <sz val="10"/>
        <rFont val="WenQuanYi Zen Hei"/>
        <family val="2"/>
      </rPr>
      <t xml:space="preserve">不同教学形式与环境下同伴支持安排对重度障碍学生的影响</t>
    </r>
  </si>
  <si>
    <r>
      <rPr>
        <sz val="10"/>
        <rFont val="Arial"/>
        <family val="0"/>
        <charset val="1"/>
      </rPr>
      <t xml:space="preserve">Adrian</t>
    </r>
    <r>
      <rPr>
        <sz val="10"/>
        <rFont val="WenQuanYi Zen Hei"/>
        <family val="2"/>
      </rPr>
      <t xml:space="preserve">首个基线仅</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</si>
  <si>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WenQuanYi Zen Hei"/>
        <family val="2"/>
      </rPr>
      <t xml:space="preserve">强</t>
    </r>
    <r>
      <rPr>
        <sz val="10"/>
        <rFont val="Arial"/>
        <family val="0"/>
        <charset val="1"/>
      </rPr>
      <t xml:space="preserve">(</t>
    </r>
    <r>
      <rPr>
        <sz val="10"/>
        <rFont val="WenQuanYi Zen Hei"/>
        <family val="2"/>
      </rPr>
      <t xml:space="preserve">初判，互动</t>
    </r>
    <r>
      <rPr>
        <sz val="10"/>
        <rFont val="Arial"/>
        <family val="0"/>
        <charset val="1"/>
      </rPr>
      <t xml:space="preserve">)</t>
    </r>
  </si>
  <si>
    <r>
      <rPr>
        <sz val="10"/>
        <rFont val="WenQuanYi Zen Hei"/>
        <family val="2"/>
      </rPr>
      <t xml:space="preserve">仅</t>
    </r>
    <r>
      <rPr>
        <sz val="10"/>
        <rFont val="Arial"/>
        <family val="0"/>
        <charset val="1"/>
      </rPr>
      <t xml:space="preserve">Adrian</t>
    </r>
    <r>
      <rPr>
        <sz val="10"/>
        <rFont val="WenQuanYi Zen Hei"/>
        <family val="2"/>
      </rPr>
      <t xml:space="preserve">为</t>
    </r>
    <r>
      <rPr>
        <sz val="10"/>
        <rFont val="Arial"/>
        <family val="0"/>
        <charset val="1"/>
      </rPr>
      <t xml:space="preserve">ASD</t>
    </r>
    <r>
      <rPr>
        <sz val="10"/>
        <rFont val="WenQuanYi Zen Hei"/>
        <family val="2"/>
      </rPr>
      <t xml:space="preserve">；</t>
    </r>
    <r>
      <rPr>
        <sz val="10"/>
        <rFont val="Arial"/>
        <family val="0"/>
        <charset val="1"/>
      </rPr>
      <t xml:space="preserve">IOA 27.3%</t>
    </r>
    <r>
      <rPr>
        <sz val="10"/>
        <rFont val="WenQuanYi Zen Hei"/>
        <family val="2"/>
      </rPr>
      <t xml:space="preserve">，均</t>
    </r>
    <r>
      <rPr>
        <sz val="10"/>
        <rFont val="Arial"/>
        <family val="0"/>
        <charset val="1"/>
      </rPr>
      <t xml:space="preserve">&gt;90%</t>
    </r>
  </si>
  <si>
    <r>
      <rPr>
        <sz val="10"/>
        <rFont val="Arial"/>
        <family val="0"/>
        <charset val="1"/>
      </rPr>
      <t xml:space="preserve">008-A </t>
    </r>
    <r>
      <rPr>
        <sz val="10"/>
        <rFont val="WenQuanYi Zen Hei"/>
        <family val="2"/>
      </rPr>
      <t xml:space="preserve">简报：加重毯对一名孤独症谱系障碍学生参与度的影响</t>
    </r>
  </si>
  <si>
    <r>
      <rPr>
        <sz val="10"/>
        <rFont val="WenQuanYi Zen Hei"/>
        <family val="2"/>
      </rPr>
      <t xml:space="preserve">交替处理</t>
    </r>
    <r>
      <rPr>
        <sz val="10"/>
        <rFont val="Arial"/>
        <family val="0"/>
        <charset val="1"/>
      </rPr>
      <t xml:space="preserve">(1</t>
    </r>
    <r>
      <rPr>
        <sz val="10"/>
        <rFont val="WenQuanYi Zen Hei"/>
        <family val="2"/>
      </rPr>
      <t xml:space="preserve">人；基线→加重毯</t>
    </r>
    <r>
      <rPr>
        <sz val="10"/>
        <rFont val="Arial"/>
        <family val="0"/>
        <charset val="1"/>
      </rPr>
      <t xml:space="preserve">/</t>
    </r>
    <r>
      <rPr>
        <sz val="10"/>
        <rFont val="WenQuanYi Zen Hei"/>
        <family val="2"/>
      </rPr>
      <t xml:space="preserve">工作盒</t>
    </r>
    <r>
      <rPr>
        <sz val="10"/>
        <rFont val="Arial"/>
        <family val="0"/>
        <charset val="1"/>
      </rPr>
      <t xml:space="preserve">/</t>
    </r>
    <r>
      <rPr>
        <sz val="10"/>
        <rFont val="WenQuanYi Zen Hei"/>
        <family val="2"/>
      </rPr>
      <t xml:space="preserve">基线交替</t>
    </r>
    <r>
      <rPr>
        <sz val="10"/>
        <rFont val="Arial"/>
        <family val="0"/>
        <charset val="1"/>
      </rPr>
      <t xml:space="preserve">)</t>
    </r>
  </si>
  <si>
    <r>
      <rPr>
        <sz val="10"/>
        <rFont val="WenQuanYi Zen Hei"/>
        <family val="2"/>
      </rPr>
      <t xml:space="preserve">加重毯</t>
    </r>
    <r>
      <rPr>
        <sz val="10"/>
        <rFont val="Arial"/>
        <family val="0"/>
        <charset val="1"/>
      </rPr>
      <t xml:space="preserve">vs</t>
    </r>
    <r>
      <rPr>
        <sz val="10"/>
        <rFont val="WenQuanYi Zen Hei"/>
        <family val="2"/>
      </rPr>
      <t xml:space="preserve">基线：无证据；工作盒</t>
    </r>
    <r>
      <rPr>
        <sz val="10"/>
        <rFont val="Arial"/>
        <family val="0"/>
        <charset val="1"/>
      </rPr>
      <t xml:space="preserve">vs</t>
    </r>
    <r>
      <rPr>
        <sz val="10"/>
        <rFont val="WenQuanYi Zen Hei"/>
        <family val="2"/>
      </rPr>
      <t xml:space="preserve">基线：强</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</si>
  <si>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WenQuanYi Zen Hei"/>
        <family val="2"/>
      </rPr>
      <t xml:space="preserve">各条件≥</t>
    </r>
    <r>
      <rPr>
        <sz val="10"/>
        <rFont val="Arial"/>
        <family val="0"/>
        <charset val="1"/>
      </rPr>
      <t xml:space="preserve">5</t>
    </r>
    <r>
      <rPr>
        <sz val="10"/>
        <rFont val="WenQuanYi Zen Hei"/>
        <family val="2"/>
      </rPr>
      <t xml:space="preserve">点、连续同条件≤</t>
    </r>
    <r>
      <rPr>
        <sz val="10"/>
        <rFont val="Arial"/>
        <family val="0"/>
        <charset val="1"/>
      </rPr>
      <t xml:space="preserve">2</t>
    </r>
    <r>
      <rPr>
        <sz val="10"/>
        <rFont val="WenQuanYi Zen Hei"/>
        <family val="2"/>
      </rPr>
      <t xml:space="preserve">；</t>
    </r>
    <r>
      <rPr>
        <sz val="10"/>
        <rFont val="Arial"/>
        <family val="0"/>
        <charset val="1"/>
      </rPr>
      <t xml:space="preserve">IOA 33–60%</t>
    </r>
    <r>
      <rPr>
        <sz val="10"/>
        <rFont val="WenQuanYi Zen Hei"/>
        <family val="2"/>
      </rPr>
      <t xml:space="preserve">，</t>
    </r>
    <r>
      <rPr>
        <sz val="10"/>
        <rFont val="Arial"/>
        <family val="0"/>
        <charset val="1"/>
      </rPr>
      <t xml:space="preserve">88.8%</t>
    </r>
  </si>
  <si>
    <r>
      <rPr>
        <sz val="10"/>
        <rFont val="Arial"/>
        <family val="0"/>
        <charset val="1"/>
      </rPr>
      <t xml:space="preserve">009-A </t>
    </r>
    <r>
      <rPr>
        <sz val="10"/>
        <rFont val="WenQuanYi Zen Hei"/>
        <family val="2"/>
      </rPr>
      <t xml:space="preserve">教导幼儿向孤独症谱系障碍同伴发出游戏邀请</t>
    </r>
  </si>
  <si>
    <r>
      <rPr>
        <sz val="10"/>
        <rFont val="Arial"/>
        <family val="0"/>
        <charset val="1"/>
      </rPr>
      <t xml:space="preserve">Amber/Regina</t>
    </r>
    <r>
      <rPr>
        <sz val="10"/>
        <rFont val="WenQuanYi Zen Hei"/>
        <family val="2"/>
      </rPr>
      <t xml:space="preserve">基线仅</t>
    </r>
    <r>
      <rPr>
        <sz val="10"/>
        <rFont val="Arial"/>
        <family val="0"/>
        <charset val="1"/>
      </rPr>
      <t xml:space="preserve">3</t>
    </r>
    <r>
      <rPr>
        <sz val="10"/>
        <rFont val="WenQuanYi Zen Hei"/>
        <family val="2"/>
      </rPr>
      <t xml:space="preserve">点；</t>
    </r>
    <r>
      <rPr>
        <sz val="10"/>
        <rFont val="Arial"/>
        <family val="0"/>
        <charset val="1"/>
      </rPr>
      <t xml:space="preserve">Milo/Xane</t>
    </r>
    <r>
      <rPr>
        <sz val="10"/>
        <rFont val="WenQuanYi Zen Hei"/>
        <family val="2"/>
      </rPr>
      <t xml:space="preserve">干预</t>
    </r>
    <r>
      <rPr>
        <sz val="10"/>
        <rFont val="Arial"/>
        <family val="0"/>
        <charset val="1"/>
      </rPr>
      <t xml:space="preserve">4</t>
    </r>
    <r>
      <rPr>
        <sz val="10"/>
        <rFont val="WenQuanYi Zen Hei"/>
        <family val="2"/>
      </rPr>
      <t xml:space="preserve">点；</t>
    </r>
    <r>
      <rPr>
        <sz val="10"/>
        <rFont val="Arial"/>
        <family val="0"/>
        <charset val="1"/>
      </rPr>
      <t xml:space="preserve">Enzo</t>
    </r>
    <r>
      <rPr>
        <sz val="10"/>
        <rFont val="WenQuanYi Zen Hei"/>
        <family val="2"/>
      </rPr>
      <t xml:space="preserve">、</t>
    </r>
    <r>
      <rPr>
        <sz val="10"/>
        <rFont val="Arial"/>
        <family val="0"/>
        <charset val="1"/>
      </rPr>
      <t xml:space="preserve">Xane</t>
    </r>
    <r>
      <rPr>
        <sz val="10"/>
        <rFont val="WenQuanYi Zen Hei"/>
        <family val="2"/>
      </rPr>
      <t xml:space="preserve">干预前</t>
    </r>
    <r>
      <rPr>
        <sz val="10"/>
        <rFont val="Arial"/>
        <family val="0"/>
        <charset val="1"/>
      </rPr>
      <t xml:space="preserve">3</t>
    </r>
    <r>
      <rPr>
        <sz val="10"/>
        <rFont val="WenQuanYi Zen Hei"/>
        <family val="2"/>
      </rPr>
      <t xml:space="preserve">次会话内仅</t>
    </r>
    <r>
      <rPr>
        <sz val="10"/>
        <rFont val="Arial"/>
        <family val="0"/>
        <charset val="1"/>
      </rPr>
      <t xml:space="preserve">1</t>
    </r>
    <r>
      <rPr>
        <sz val="10"/>
        <rFont val="WenQuanYi Zen Hei"/>
        <family val="2"/>
      </rPr>
      <t xml:space="preserve">个探测点</t>
    </r>
  </si>
  <si>
    <r>
      <rPr>
        <sz val="10"/>
        <rFont val="WenQuanYi Zen Hei"/>
        <family val="2"/>
      </rPr>
      <t xml:space="preserve">首个基线</t>
    </r>
    <r>
      <rPr>
        <sz val="10"/>
        <rFont val="Arial"/>
        <family val="0"/>
        <charset val="1"/>
      </rPr>
      <t xml:space="preserve">&lt;6</t>
    </r>
    <r>
      <rPr>
        <sz val="10"/>
        <rFont val="WenQuanYi Zen Hei"/>
        <family val="2"/>
      </rPr>
      <t xml:space="preserve">点；干预前探测不足</t>
    </r>
    <r>
      <rPr>
        <sz val="10"/>
        <rFont val="Arial"/>
        <family val="0"/>
        <charset val="1"/>
      </rPr>
      <t xml:space="preserve">3</t>
    </r>
    <r>
      <rPr>
        <sz val="10"/>
        <rFont val="WenQuanYi Zen Hei"/>
        <family val="2"/>
      </rPr>
      <t xml:space="preserve">个</t>
    </r>
  </si>
  <si>
    <r>
      <rPr>
        <sz val="10"/>
        <rFont val="WenQuanYi Zen Hei"/>
        <family val="2"/>
      </rPr>
      <t xml:space="preserve">强</t>
    </r>
    <r>
      <rPr>
        <sz val="10"/>
        <rFont val="Arial"/>
        <family val="0"/>
        <charset val="1"/>
      </rPr>
      <t xml:space="preserve">(</t>
    </r>
    <r>
      <rPr>
        <sz val="10"/>
        <rFont val="WenQuanYi Zen Hei"/>
        <family val="2"/>
      </rPr>
      <t xml:space="preserve">初判，</t>
    </r>
    <r>
      <rPr>
        <sz val="10"/>
        <rFont val="Arial"/>
        <family val="0"/>
        <charset val="1"/>
      </rPr>
      <t xml:space="preserve">ASD</t>
    </r>
    <r>
      <rPr>
        <sz val="10"/>
        <rFont val="WenQuanYi Zen Hei"/>
        <family val="2"/>
      </rPr>
      <t xml:space="preserve">儿童回应</t>
    </r>
    <r>
      <rPr>
        <sz val="10"/>
        <rFont val="Arial"/>
        <family val="0"/>
        <charset val="1"/>
      </rPr>
      <t xml:space="preserve">)</t>
    </r>
  </si>
  <si>
    <r>
      <rPr>
        <sz val="10"/>
        <rFont val="WenQuanYi Zen Hei"/>
        <family val="2"/>
      </rPr>
      <t xml:space="preserve">主要因变量为同伴发起；</t>
    </r>
    <r>
      <rPr>
        <sz val="10"/>
        <rFont val="Arial"/>
        <family val="0"/>
        <charset val="1"/>
      </rPr>
      <t xml:space="preserve">ASD</t>
    </r>
    <r>
      <rPr>
        <sz val="10"/>
        <rFont val="WenQuanYi Zen Hei"/>
        <family val="2"/>
      </rPr>
      <t xml:space="preserve">儿童回应为次要结局；</t>
    </r>
    <r>
      <rPr>
        <sz val="10"/>
        <rFont val="Arial"/>
        <family val="0"/>
        <charset val="1"/>
      </rPr>
      <t xml:space="preserve">IOA 33%</t>
    </r>
    <r>
      <rPr>
        <sz val="10"/>
        <rFont val="WenQuanYi Zen Hei"/>
        <family val="2"/>
      </rPr>
      <t xml:space="preserve">，</t>
    </r>
    <r>
      <rPr>
        <sz val="10"/>
        <rFont val="Arial"/>
        <family val="0"/>
        <charset val="1"/>
      </rPr>
      <t xml:space="preserve">87–97%</t>
    </r>
  </si>
  <si>
    <r>
      <rPr>
        <sz val="10"/>
        <rFont val="Arial"/>
        <family val="0"/>
        <charset val="1"/>
      </rPr>
      <t xml:space="preserve">010-A </t>
    </r>
    <r>
      <rPr>
        <sz val="10"/>
        <rFont val="WenQuanYi Zen Hei"/>
        <family val="2"/>
      </rPr>
      <t xml:space="preserve">结合偏好活动与同伴支持以增加孤独症谱系障碍学前儿童与典型发展同伴之间的社会互动</t>
    </r>
  </si>
  <si>
    <r>
      <rPr>
        <sz val="10"/>
        <rFont val="WenQuanYi Zen Hei"/>
        <family val="2"/>
      </rPr>
      <t xml:space="preserve">多探测跨</t>
    </r>
    <r>
      <rPr>
        <sz val="10"/>
        <rFont val="Arial"/>
        <family val="0"/>
        <charset val="1"/>
      </rPr>
      <t xml:space="preserve">3</t>
    </r>
    <r>
      <rPr>
        <sz val="10"/>
        <rFont val="WenQuanYi Zen Hei"/>
        <family val="2"/>
      </rPr>
      <t xml:space="preserve">名同伴</t>
    </r>
    <r>
      <rPr>
        <sz val="10"/>
        <rFont val="Arial"/>
        <family val="0"/>
        <charset val="1"/>
      </rPr>
      <t xml:space="preserve">+A-B-A-B+C</t>
    </r>
  </si>
  <si>
    <r>
      <rPr>
        <sz val="10"/>
        <rFont val="WenQuanYi Zen Hei"/>
        <family val="2"/>
      </rPr>
      <t xml:space="preserve">第二基线</t>
    </r>
    <r>
      <rPr>
        <sz val="10"/>
        <rFont val="Arial"/>
        <family val="0"/>
        <charset val="1"/>
      </rPr>
      <t xml:space="preserve">(A2)</t>
    </r>
    <r>
      <rPr>
        <sz val="10"/>
        <rFont val="WenQuanYi Zen Hei"/>
        <family val="2"/>
      </rPr>
      <t xml:space="preserve">各层仅</t>
    </r>
    <r>
      <rPr>
        <sz val="10"/>
        <rFont val="Arial"/>
        <family val="0"/>
        <charset val="1"/>
      </rPr>
      <t xml:space="preserve">3</t>
    </r>
    <r>
      <rPr>
        <sz val="10"/>
        <rFont val="WenQuanYi Zen Hei"/>
        <family val="2"/>
      </rPr>
      <t xml:space="preserve">点；两个干预期不是同一干预</t>
    </r>
    <r>
      <rPr>
        <sz val="10"/>
        <rFont val="Arial"/>
        <family val="0"/>
        <charset val="1"/>
      </rPr>
      <t xml:space="preserve">(B </t>
    </r>
    <r>
      <rPr>
        <sz val="10"/>
        <rFont val="WenQuanYi Zen Hei"/>
        <family val="2"/>
      </rPr>
      <t xml:space="preserve">与 </t>
    </r>
    <r>
      <rPr>
        <sz val="10"/>
        <rFont val="Arial"/>
        <family val="0"/>
        <charset val="1"/>
      </rPr>
      <t xml:space="preserve">B+C)</t>
    </r>
  </si>
  <si>
    <r>
      <rPr>
        <sz val="10"/>
        <rFont val="WenQuanYi Zen Hei"/>
        <family val="2"/>
      </rPr>
      <t xml:space="preserve">首个基线</t>
    </r>
    <r>
      <rPr>
        <sz val="10"/>
        <rFont val="Arial"/>
        <family val="0"/>
        <charset val="1"/>
      </rPr>
      <t xml:space="preserve">&lt;6</t>
    </r>
    <r>
      <rPr>
        <sz val="10"/>
        <rFont val="WenQuanYi Zen Hei"/>
        <family val="2"/>
      </rPr>
      <t xml:space="preserve">点；</t>
    </r>
    <r>
      <rPr>
        <sz val="10"/>
        <rFont val="Arial"/>
        <family val="0"/>
        <charset val="1"/>
      </rPr>
      <t xml:space="preserve">A2</t>
    </r>
    <r>
      <rPr>
        <sz val="10"/>
        <rFont val="WenQuanYi Zen Hei"/>
        <family val="2"/>
      </rPr>
      <t xml:space="preserve">仅</t>
    </r>
    <r>
      <rPr>
        <sz val="10"/>
        <rFont val="Arial"/>
        <family val="0"/>
        <charset val="1"/>
      </rPr>
      <t xml:space="preserve">3</t>
    </r>
    <r>
      <rPr>
        <sz val="10"/>
        <rFont val="WenQuanYi Zen Hei"/>
        <family val="2"/>
      </rPr>
      <t xml:space="preserve">点</t>
    </r>
  </si>
  <si>
    <r>
      <rPr>
        <sz val="10"/>
        <rFont val="WenQuanYi Zen Hei"/>
        <family val="2"/>
      </rPr>
      <t xml:space="preserve">强</t>
    </r>
    <r>
      <rPr>
        <sz val="10"/>
        <rFont val="Arial"/>
        <family val="0"/>
        <charset val="1"/>
      </rPr>
      <t xml:space="preserve">(</t>
    </r>
    <r>
      <rPr>
        <sz val="10"/>
        <rFont val="WenQuanYi Zen Hei"/>
        <family val="2"/>
      </rPr>
      <t xml:space="preserve">初判，社交发起</t>
    </r>
    <r>
      <rPr>
        <sz val="10"/>
        <rFont val="Arial"/>
        <family val="0"/>
        <charset val="1"/>
      </rPr>
      <t xml:space="preserve">)</t>
    </r>
  </si>
  <si>
    <r>
      <rPr>
        <sz val="10"/>
        <rFont val="WenQuanYi Zen Hei"/>
        <family val="2"/>
      </rPr>
      <t xml:space="preserve">两名</t>
    </r>
    <r>
      <rPr>
        <sz val="10"/>
        <rFont val="Arial"/>
        <family val="0"/>
        <charset val="1"/>
      </rPr>
      <t xml:space="preserve">ASD</t>
    </r>
    <r>
      <rPr>
        <sz val="10"/>
        <rFont val="WenQuanYi Zen Hei"/>
        <family val="2"/>
      </rPr>
      <t xml:space="preserve">儿童</t>
    </r>
    <r>
      <rPr>
        <sz val="10"/>
        <rFont val="Arial"/>
        <family val="0"/>
        <charset val="1"/>
      </rPr>
      <t xml:space="preserve">(Yaoyao</t>
    </r>
    <r>
      <rPr>
        <sz val="10"/>
        <rFont val="WenQuanYi Zen Hei"/>
        <family val="2"/>
      </rPr>
      <t xml:space="preserve">、</t>
    </r>
    <r>
      <rPr>
        <sz val="10"/>
        <rFont val="Arial"/>
        <family val="0"/>
        <charset val="1"/>
      </rPr>
      <t xml:space="preserve">Baobao)</t>
    </r>
    <r>
      <rPr>
        <sz val="10"/>
        <rFont val="WenQuanYi Zen Hei"/>
        <family val="2"/>
      </rPr>
      <t xml:space="preserve">各一组图；</t>
    </r>
    <r>
      <rPr>
        <sz val="10"/>
        <rFont val="Arial"/>
        <family val="0"/>
        <charset val="1"/>
      </rPr>
      <t xml:space="preserve">IOA≥30%</t>
    </r>
    <r>
      <rPr>
        <sz val="10"/>
        <rFont val="WenQuanYi Zen Hei"/>
        <family val="2"/>
      </rPr>
      <t xml:space="preserve">，</t>
    </r>
    <r>
      <rPr>
        <sz val="10"/>
        <rFont val="Arial"/>
        <family val="0"/>
        <charset val="1"/>
      </rPr>
      <t xml:space="preserve">&gt;80%</t>
    </r>
  </si>
  <si>
    <r>
      <rPr>
        <sz val="10"/>
        <rFont val="Arial"/>
        <family val="0"/>
        <charset val="1"/>
      </rPr>
      <t xml:space="preserve">011-A </t>
    </r>
    <r>
      <rPr>
        <sz val="10"/>
        <rFont val="WenQuanYi Zen Hei"/>
        <family val="2"/>
      </rPr>
      <t xml:space="preserve">运用视觉日程表和工作系统提高普通班孤独症谱系学生的任务专注行为</t>
    </r>
  </si>
  <si>
    <r>
      <rPr>
        <sz val="10"/>
        <rFont val="WenQuanYi Zen Hei"/>
        <family val="2"/>
      </rPr>
      <t xml:space="preserve">多基线</t>
    </r>
    <r>
      <rPr>
        <sz val="10"/>
        <rFont val="Arial"/>
        <family val="0"/>
        <charset val="1"/>
      </rPr>
      <t xml:space="preserve">(4</t>
    </r>
    <r>
      <rPr>
        <sz val="10"/>
        <rFont val="WenQuanYi Zen Hei"/>
        <family val="2"/>
      </rPr>
      <t xml:space="preserve">人</t>
    </r>
    <r>
      <rPr>
        <sz val="10"/>
        <rFont val="Arial"/>
        <family val="0"/>
        <charset val="1"/>
      </rPr>
      <t xml:space="preserve">)</t>
    </r>
  </si>
  <si>
    <r>
      <rPr>
        <sz val="10"/>
        <rFont val="Arial"/>
        <family val="0"/>
        <charset val="1"/>
      </rPr>
      <t xml:space="preserve">Edward</t>
    </r>
    <r>
      <rPr>
        <sz val="10"/>
        <rFont val="WenQuanYi Zen Hei"/>
        <family val="2"/>
      </rPr>
      <t xml:space="preserve">、</t>
    </r>
    <r>
      <rPr>
        <sz val="10"/>
        <rFont val="Arial"/>
        <family val="0"/>
        <charset val="1"/>
      </rPr>
      <t xml:space="preserve">Sam</t>
    </r>
    <r>
      <rPr>
        <sz val="10"/>
        <rFont val="WenQuanYi Zen Hei"/>
        <family val="2"/>
      </rPr>
      <t xml:space="preserve">干预期仅</t>
    </r>
    <r>
      <rPr>
        <sz val="10"/>
        <rFont val="Arial"/>
        <family val="0"/>
        <charset val="1"/>
      </rPr>
      <t xml:space="preserve">4</t>
    </r>
    <r>
      <rPr>
        <sz val="10"/>
        <rFont val="WenQuanYi Zen Hei"/>
        <family val="2"/>
      </rPr>
      <t xml:space="preserve">点；</t>
    </r>
    <r>
      <rPr>
        <sz val="10"/>
        <rFont val="Arial"/>
        <family val="0"/>
        <charset val="1"/>
      </rPr>
      <t xml:space="preserve">Sam</t>
    </r>
    <r>
      <rPr>
        <sz val="10"/>
        <rFont val="WenQuanYi Zen Hei"/>
        <family val="2"/>
      </rPr>
      <t xml:space="preserve">基线仅</t>
    </r>
    <r>
      <rPr>
        <sz val="10"/>
        <rFont val="Arial"/>
        <family val="0"/>
        <charset val="1"/>
      </rPr>
      <t xml:space="preserve">5</t>
    </r>
    <r>
      <rPr>
        <sz val="10"/>
        <rFont val="WenQuanYi Zen Hei"/>
        <family val="2"/>
      </rPr>
      <t xml:space="preserve">点且始于第</t>
    </r>
    <r>
      <rPr>
        <sz val="10"/>
        <rFont val="Arial"/>
        <family val="0"/>
        <charset val="1"/>
      </rPr>
      <t xml:space="preserve">20</t>
    </r>
    <r>
      <rPr>
        <sz val="10"/>
        <rFont val="WenQuanYi Zen Hei"/>
        <family val="2"/>
      </rPr>
      <t xml:space="preserve">次会话（</t>
    </r>
    <r>
      <rPr>
        <sz val="10"/>
        <rFont val="Arial"/>
        <family val="0"/>
        <charset val="1"/>
      </rPr>
      <t xml:space="preserve">James</t>
    </r>
    <r>
      <rPr>
        <sz val="10"/>
        <rFont val="WenQuanYi Zen Hei"/>
        <family val="2"/>
      </rPr>
      <t xml:space="preserve">已进入干预）</t>
    </r>
  </si>
  <si>
    <r>
      <rPr>
        <sz val="10"/>
        <rFont val="Arial"/>
        <family val="0"/>
        <charset val="1"/>
      </rPr>
      <t xml:space="preserve">Sam</t>
    </r>
    <r>
      <rPr>
        <sz val="10"/>
        <rFont val="WenQuanYi Zen Hei"/>
        <family val="2"/>
      </rPr>
      <t xml:space="preserve">违反同时性</t>
    </r>
    <r>
      <rPr>
        <sz val="10"/>
        <rFont val="Arial"/>
        <family val="0"/>
        <charset val="1"/>
      </rPr>
      <t xml:space="preserve">(James</t>
    </r>
    <r>
      <rPr>
        <sz val="10"/>
        <rFont val="WenQuanYi Zen Hei"/>
        <family val="2"/>
      </rPr>
      <t xml:space="preserve">干预前</t>
    </r>
    <r>
      <rPr>
        <sz val="10"/>
        <rFont val="Arial"/>
        <family val="0"/>
        <charset val="1"/>
      </rPr>
      <t xml:space="preserve">Sam</t>
    </r>
    <r>
      <rPr>
        <sz val="10"/>
        <rFont val="WenQuanYi Zen Hei"/>
        <family val="2"/>
      </rPr>
      <t xml:space="preserve">无基线数据</t>
    </r>
    <r>
      <rPr>
        <sz val="10"/>
        <rFont val="Arial"/>
        <family val="0"/>
        <charset val="1"/>
      </rPr>
      <t xml:space="preserve">)→</t>
    </r>
    <r>
      <rPr>
        <sz val="10"/>
        <rFont val="WenQuanYi Zen Hei"/>
        <family val="2"/>
      </rPr>
      <t xml:space="preserve">去掉</t>
    </r>
    <r>
      <rPr>
        <sz val="10"/>
        <rFont val="Arial"/>
        <family val="0"/>
        <charset val="1"/>
      </rPr>
      <t xml:space="preserve">Sam</t>
    </r>
    <r>
      <rPr>
        <sz val="10"/>
        <rFont val="WenQuanYi Zen Hei"/>
        <family val="2"/>
      </rPr>
      <t xml:space="preserve">后以其余</t>
    </r>
    <r>
      <rPr>
        <sz val="10"/>
        <rFont val="Arial"/>
        <family val="0"/>
        <charset val="1"/>
      </rPr>
      <t xml:space="preserve">3</t>
    </r>
    <r>
      <rPr>
        <sz val="10"/>
        <rFont val="WenQuanYi Zen Hei"/>
        <family val="2"/>
      </rPr>
      <t xml:space="preserve">层评；</t>
    </r>
    <r>
      <rPr>
        <sz val="10"/>
        <rFont val="Arial"/>
        <family val="0"/>
        <charset val="1"/>
      </rPr>
      <t xml:space="preserve">Edward</t>
    </r>
    <r>
      <rPr>
        <sz val="10"/>
        <rFont val="WenQuanYi Zen Hei"/>
        <family val="2"/>
      </rPr>
      <t xml:space="preserve">干预</t>
    </r>
    <r>
      <rPr>
        <sz val="10"/>
        <rFont val="Arial"/>
        <family val="0"/>
        <charset val="1"/>
      </rPr>
      <t xml:space="preserve">4</t>
    </r>
    <r>
      <rPr>
        <sz val="10"/>
        <rFont val="WenQuanYi Zen Hei"/>
        <family val="2"/>
      </rPr>
      <t xml:space="preserve">点</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</si>
  <si>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Sam</t>
    </r>
    <r>
      <rPr>
        <sz val="10"/>
        <rFont val="WenQuanYi Zen Hei"/>
        <family val="2"/>
      </rPr>
      <t xml:space="preserve">有非效果，</t>
    </r>
    <r>
      <rPr>
        <sz val="10"/>
        <rFont val="Arial"/>
        <family val="0"/>
        <charset val="1"/>
      </rPr>
      <t xml:space="preserve">James</t>
    </r>
    <r>
      <rPr>
        <sz val="10"/>
        <rFont val="WenQuanYi Zen Hei"/>
        <family val="2"/>
      </rPr>
      <t xml:space="preserve">基线有上升点</t>
    </r>
    <r>
      <rPr>
        <sz val="10"/>
        <rFont val="Arial"/>
        <family val="0"/>
        <charset val="1"/>
      </rPr>
      <t xml:space="preserve">)</t>
    </r>
  </si>
  <si>
    <r>
      <rPr>
        <sz val="10"/>
        <rFont val="WenQuanYi Zen Hei"/>
        <family val="2"/>
      </rPr>
      <t xml:space="preserve">两版说明：</t>
    </r>
    <r>
      <rPr>
        <sz val="10"/>
        <rFont val="Arial"/>
        <family val="0"/>
        <charset val="1"/>
      </rPr>
      <t xml:space="preserve">3.0</t>
    </r>
    <r>
      <rPr>
        <sz val="10"/>
        <rFont val="WenQuanYi Zen Hei"/>
        <family val="2"/>
      </rPr>
      <t xml:space="preserve">未明确同时性要求；</t>
    </r>
    <r>
      <rPr>
        <sz val="10"/>
        <rFont val="Arial"/>
        <family val="0"/>
        <charset val="1"/>
      </rPr>
      <t xml:space="preserve">5.0</t>
    </r>
    <r>
      <rPr>
        <sz val="10"/>
        <rFont val="WenQuanYi Zen Hei"/>
        <family val="2"/>
      </rPr>
      <t xml:space="preserve">去掉</t>
    </r>
    <r>
      <rPr>
        <sz val="10"/>
        <rFont val="Arial"/>
        <family val="0"/>
        <charset val="1"/>
      </rPr>
      <t xml:space="preserve">Sam</t>
    </r>
    <r>
      <rPr>
        <sz val="10"/>
        <rFont val="WenQuanYi Zen Hei"/>
        <family val="2"/>
      </rPr>
      <t xml:space="preserve">后仍有保留；</t>
    </r>
    <r>
      <rPr>
        <sz val="10"/>
        <rFont val="Arial"/>
        <family val="0"/>
        <charset val="1"/>
      </rPr>
      <t xml:space="preserve">IOA 27–33%</t>
    </r>
    <r>
      <rPr>
        <sz val="10"/>
        <rFont val="WenQuanYi Zen Hei"/>
        <family val="2"/>
      </rPr>
      <t xml:space="preserve">，</t>
    </r>
    <r>
      <rPr>
        <sz val="10"/>
        <rFont val="Arial"/>
        <family val="0"/>
        <charset val="1"/>
      </rPr>
      <t xml:space="preserve">&gt;87%</t>
    </r>
  </si>
  <si>
    <r>
      <rPr>
        <b val="true"/>
        <sz val="10"/>
        <rFont val="Arial"/>
        <family val="0"/>
        <charset val="1"/>
      </rPr>
      <t xml:space="preserve">012-A </t>
    </r>
    <r>
      <rPr>
        <b val="true"/>
        <sz val="10"/>
        <rFont val="WenQuanYi Zen Hei"/>
        <family val="2"/>
      </rPr>
      <t xml:space="preserve">运用结构分析指导重度障碍高中生的同伴支持安排</t>
    </r>
  </si>
  <si>
    <r>
      <rPr>
        <sz val="10"/>
        <rFont val="WenQuanYi Zen Hei"/>
        <family val="2"/>
      </rPr>
      <t xml:space="preserve">首</t>
    </r>
    <r>
      <rPr>
        <sz val="10"/>
        <rFont val="Arial"/>
        <family val="0"/>
        <charset val="1"/>
      </rPr>
      <t xml:space="preserve">3</t>
    </r>
    <r>
      <rPr>
        <sz val="10"/>
        <rFont val="WenQuanYi Zen Hei"/>
        <family val="2"/>
      </rPr>
      <t xml:space="preserve">次会话每层≥</t>
    </r>
    <r>
      <rPr>
        <sz val="10"/>
        <rFont val="Arial"/>
        <family val="0"/>
        <charset val="1"/>
      </rPr>
      <t xml:space="preserve">1</t>
    </r>
    <r>
      <rPr>
        <sz val="10"/>
        <rFont val="WenQuanYi Zen Hei"/>
        <family val="2"/>
      </rPr>
      <t xml:space="preserve">个探测点但非连续</t>
    </r>
    <r>
      <rPr>
        <sz val="10"/>
        <rFont val="Arial"/>
        <family val="0"/>
        <charset val="1"/>
      </rPr>
      <t xml:space="preserve">3</t>
    </r>
    <r>
      <rPr>
        <sz val="10"/>
        <rFont val="WenQuanYi Zen Hei"/>
        <family val="2"/>
      </rPr>
      <t xml:space="preserve">个；干预前</t>
    </r>
    <r>
      <rPr>
        <sz val="10"/>
        <rFont val="Arial"/>
        <family val="0"/>
        <charset val="1"/>
      </rPr>
      <t xml:space="preserve">3</t>
    </r>
    <r>
      <rPr>
        <sz val="10"/>
        <rFont val="WenQuanYi Zen Hei"/>
        <family val="2"/>
      </rPr>
      <t xml:space="preserve">次会话内探测不足</t>
    </r>
    <r>
      <rPr>
        <sz val="10"/>
        <rFont val="Arial"/>
        <family val="0"/>
        <charset val="1"/>
      </rPr>
      <t xml:space="preserve">3</t>
    </r>
    <r>
      <rPr>
        <sz val="10"/>
        <rFont val="WenQuanYi Zen Hei"/>
        <family val="2"/>
      </rPr>
      <t xml:space="preserve">个</t>
    </r>
  </si>
  <si>
    <r>
      <rPr>
        <sz val="10"/>
        <rFont val="WenQuanYi Zen Hei"/>
        <family val="2"/>
      </rPr>
      <t xml:space="preserve">不达标</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</si>
  <si>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WenQuanYi Zen Hei"/>
        <family val="2"/>
      </rPr>
      <t xml:space="preserve">前</t>
    </r>
    <r>
      <rPr>
        <sz val="10"/>
        <rFont val="Arial"/>
        <family val="0"/>
        <charset val="1"/>
      </rPr>
      <t xml:space="preserve">3</t>
    </r>
    <r>
      <rPr>
        <sz val="10"/>
        <rFont val="WenQuanYi Zen Hei"/>
        <family val="2"/>
      </rPr>
      <t xml:space="preserve">次会话中没有三层同时有探测点的会话</t>
    </r>
    <r>
      <rPr>
        <sz val="10"/>
        <rFont val="Arial"/>
        <family val="0"/>
        <charset val="1"/>
      </rPr>
      <t xml:space="preserve">(John 2</t>
    </r>
    <r>
      <rPr>
        <sz val="10"/>
        <rFont val="WenQuanYi Zen Hei"/>
        <family val="2"/>
      </rPr>
      <t xml:space="preserve">；</t>
    </r>
    <r>
      <rPr>
        <sz val="10"/>
        <rFont val="Arial"/>
        <family val="0"/>
        <charset val="1"/>
      </rPr>
      <t xml:space="preserve">Tyler</t>
    </r>
    <r>
      <rPr>
        <sz val="10"/>
        <rFont val="WenQuanYi Zen Hei"/>
        <family val="2"/>
      </rPr>
      <t xml:space="preserve">、</t>
    </r>
    <r>
      <rPr>
        <sz val="10"/>
        <rFont val="Arial"/>
        <family val="0"/>
        <charset val="1"/>
      </rPr>
      <t xml:space="preserve">Richard 1</t>
    </r>
    <r>
      <rPr>
        <sz val="10"/>
        <rFont val="WenQuanYi Zen Hei"/>
        <family val="2"/>
      </rPr>
      <t xml:space="preserve">、</t>
    </r>
    <r>
      <rPr>
        <sz val="10"/>
        <rFont val="Arial"/>
        <family val="0"/>
        <charset val="1"/>
      </rPr>
      <t xml:space="preserve">3)</t>
    </r>
  </si>
  <si>
    <r>
      <rPr>
        <sz val="10"/>
        <rFont val="Arial"/>
        <family val="0"/>
        <charset val="1"/>
      </rPr>
      <t xml:space="preserve">5.0</t>
    </r>
    <r>
      <rPr>
        <sz val="10"/>
        <rFont val="WenQuanYi Zen Hei"/>
        <family val="2"/>
      </rPr>
      <t xml:space="preserve">要求首</t>
    </r>
    <r>
      <rPr>
        <sz val="10"/>
        <rFont val="Arial"/>
        <family val="0"/>
        <charset val="1"/>
      </rPr>
      <t xml:space="preserve">3</t>
    </r>
    <r>
      <rPr>
        <sz val="10"/>
        <rFont val="WenQuanYi Zen Hei"/>
        <family val="2"/>
      </rPr>
      <t xml:space="preserve">次会话内</t>
    </r>
    <r>
      <rPr>
        <sz val="10"/>
        <rFont val="Arial"/>
        <family val="0"/>
        <charset val="1"/>
      </rPr>
      <t xml:space="preserve">"</t>
    </r>
    <r>
      <rPr>
        <sz val="10"/>
        <rFont val="WenQuanYi Zen Hei"/>
        <family val="2"/>
      </rPr>
      <t xml:space="preserve">垂直重叠</t>
    </r>
    <r>
      <rPr>
        <sz val="10"/>
        <rFont val="Arial"/>
        <family val="0"/>
        <charset val="1"/>
      </rPr>
      <t xml:space="preserve">"</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</si>
  <si>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Richard</t>
    </r>
    <r>
      <rPr>
        <sz val="10"/>
        <rFont val="WenQuanYi Zen Hei"/>
        <family val="2"/>
      </rPr>
      <t xml:space="preserve">效果弱</t>
    </r>
    <r>
      <rPr>
        <sz val="10"/>
        <rFont val="Arial"/>
        <family val="0"/>
        <charset val="1"/>
      </rPr>
      <t xml:space="preserve">)</t>
    </r>
  </si>
  <si>
    <r>
      <rPr>
        <sz val="10"/>
        <rFont val="WenQuanYi Zen Hei"/>
        <family val="2"/>
      </rPr>
      <t xml:space="preserve">仅</t>
    </r>
    <r>
      <rPr>
        <sz val="10"/>
        <rFont val="Arial"/>
        <family val="0"/>
        <charset val="1"/>
      </rPr>
      <t xml:space="preserve">Tyler</t>
    </r>
    <r>
      <rPr>
        <sz val="10"/>
        <rFont val="WenQuanYi Zen Hei"/>
        <family val="2"/>
      </rPr>
      <t xml:space="preserve">、</t>
    </r>
    <r>
      <rPr>
        <sz val="10"/>
        <rFont val="Arial"/>
        <family val="0"/>
        <charset val="1"/>
      </rPr>
      <t xml:space="preserve">Richard</t>
    </r>
    <r>
      <rPr>
        <sz val="10"/>
        <rFont val="WenQuanYi Zen Hei"/>
        <family val="2"/>
      </rPr>
      <t xml:space="preserve">为</t>
    </r>
    <r>
      <rPr>
        <sz val="10"/>
        <rFont val="Arial"/>
        <family val="0"/>
        <charset val="1"/>
      </rPr>
      <t xml:space="preserve">ASD</t>
    </r>
    <r>
      <rPr>
        <sz val="10"/>
        <rFont val="WenQuanYi Zen Hei"/>
        <family val="2"/>
      </rPr>
      <t xml:space="preserve">；</t>
    </r>
    <r>
      <rPr>
        <sz val="10"/>
        <rFont val="Arial"/>
        <family val="0"/>
        <charset val="1"/>
      </rPr>
      <t xml:space="preserve">IOA 37.6%</t>
    </r>
    <r>
      <rPr>
        <sz val="10"/>
        <rFont val="WenQuanYi Zen Hei"/>
        <family val="2"/>
      </rPr>
      <t xml:space="preserve">，</t>
    </r>
    <r>
      <rPr>
        <sz val="10"/>
        <rFont val="Arial"/>
        <family val="0"/>
        <charset val="1"/>
      </rPr>
      <t xml:space="preserve">97.7%</t>
    </r>
  </si>
  <si>
    <r>
      <rPr>
        <sz val="10"/>
        <rFont val="Arial"/>
        <family val="0"/>
        <charset val="1"/>
      </rPr>
      <t xml:space="preserve">013-A </t>
    </r>
    <r>
      <rPr>
        <sz val="10"/>
        <rFont val="WenQuanYi Zen Hei"/>
        <family val="2"/>
      </rPr>
      <t xml:space="preserve">同伴介入干预在提升孤独症学生写作技能方面的有效性</t>
    </r>
  </si>
  <si>
    <r>
      <rPr>
        <sz val="10"/>
        <rFont val="WenQuanYi Zen Hei"/>
        <family val="2"/>
      </rPr>
      <t xml:space="preserve">多基线跨</t>
    </r>
    <r>
      <rPr>
        <sz val="10"/>
        <rFont val="Arial"/>
        <family val="0"/>
        <charset val="1"/>
      </rPr>
      <t xml:space="preserve">3</t>
    </r>
    <r>
      <rPr>
        <sz val="10"/>
        <rFont val="WenQuanYi Zen Hei"/>
        <family val="2"/>
      </rPr>
      <t xml:space="preserve">种行为</t>
    </r>
    <r>
      <rPr>
        <sz val="10"/>
        <rFont val="Arial"/>
        <family val="0"/>
        <charset val="1"/>
      </rPr>
      <t xml:space="preserve">(1</t>
    </r>
    <r>
      <rPr>
        <sz val="10"/>
        <rFont val="WenQuanYi Zen Hei"/>
        <family val="2"/>
      </rPr>
      <t xml:space="preserve">人</t>
    </r>
    <r>
      <rPr>
        <sz val="10"/>
        <rFont val="Arial"/>
        <family val="0"/>
        <charset val="1"/>
      </rPr>
      <t xml:space="preserve">)</t>
    </r>
  </si>
  <si>
    <r>
      <rPr>
        <sz val="10"/>
        <rFont val="WenQuanYi Zen Hei"/>
        <family val="2"/>
      </rPr>
      <t xml:space="preserve">主谓一致基线仅</t>
    </r>
    <r>
      <rPr>
        <sz val="10"/>
        <rFont val="Arial"/>
        <family val="0"/>
        <charset val="1"/>
      </rPr>
      <t xml:space="preserve">4</t>
    </r>
    <r>
      <rPr>
        <sz val="10"/>
        <rFont val="WenQuanYi Zen Hei"/>
        <family val="2"/>
      </rPr>
      <t xml:space="preserve">点</t>
    </r>
  </si>
  <si>
    <r>
      <rPr>
        <sz val="10"/>
        <rFont val="WenQuanYi Zen Hei"/>
        <family val="2"/>
      </rPr>
      <t xml:space="preserve">首个基线</t>
    </r>
    <r>
      <rPr>
        <sz val="10"/>
        <rFont val="Arial"/>
        <family val="0"/>
        <charset val="1"/>
      </rPr>
      <t xml:space="preserve">&lt;6</t>
    </r>
    <r>
      <rPr>
        <sz val="10"/>
        <rFont val="WenQuanYi Zen Hei"/>
        <family val="2"/>
      </rPr>
      <t xml:space="preserve">点</t>
    </r>
  </si>
  <si>
    <r>
      <rPr>
        <sz val="10"/>
        <rFont val="Arial"/>
        <family val="0"/>
        <charset val="1"/>
      </rPr>
      <t xml:space="preserve">IOA 25%</t>
    </r>
    <r>
      <rPr>
        <sz val="10"/>
        <rFont val="WenQuanYi Zen Hei"/>
        <family val="2"/>
      </rPr>
      <t xml:space="preserve">会话，</t>
    </r>
    <r>
      <rPr>
        <sz val="10"/>
        <rFont val="Arial"/>
        <family val="0"/>
        <charset val="1"/>
      </rPr>
      <t xml:space="preserve">95%</t>
    </r>
    <r>
      <rPr>
        <sz val="10"/>
        <rFont val="WenQuanYi Zen Hei"/>
        <family val="2"/>
      </rPr>
      <t xml:space="preserve">；未说明各阶段均有</t>
    </r>
    <r>
      <rPr>
        <sz val="10"/>
        <rFont val="Arial"/>
        <family val="0"/>
        <charset val="1"/>
      </rPr>
      <t xml:space="preserve">IOA</t>
    </r>
    <r>
      <rPr>
        <sz val="10"/>
        <rFont val="WenQuanYi Zen Hei"/>
        <family val="2"/>
      </rPr>
      <t xml:space="preserve">（按作者表述视为满足）</t>
    </r>
  </si>
  <si>
    <r>
      <rPr>
        <sz val="10"/>
        <rFont val="Arial"/>
        <family val="0"/>
        <charset val="1"/>
      </rPr>
      <t xml:space="preserve">014-A </t>
    </r>
    <r>
      <rPr>
        <sz val="10"/>
        <rFont val="WenQuanYi Zen Hei"/>
        <family val="2"/>
      </rPr>
      <t xml:space="preserve">全班功能相关干预小组（</t>
    </r>
    <r>
      <rPr>
        <sz val="10"/>
        <rFont val="Arial"/>
        <family val="0"/>
        <charset val="1"/>
      </rPr>
      <t xml:space="preserve">CW-FIT</t>
    </r>
    <r>
      <rPr>
        <sz val="10"/>
        <rFont val="WenQuanYi Zen Hei"/>
        <family val="2"/>
      </rPr>
      <t xml:space="preserve">）对台湾融合班一名孤独症谱系障碍小学生行为的影响</t>
    </r>
  </si>
  <si>
    <r>
      <rPr>
        <sz val="10"/>
        <rFont val="WenQuanYi Zen Hei"/>
        <family val="2"/>
      </rPr>
      <t xml:space="preserve">撤回设计</t>
    </r>
    <r>
      <rPr>
        <sz val="10"/>
        <rFont val="Arial"/>
        <family val="0"/>
        <charset val="1"/>
      </rPr>
      <t xml:space="preserve">A-B-C-B-C(1</t>
    </r>
    <r>
      <rPr>
        <sz val="10"/>
        <rFont val="WenQuanYi Zen Hei"/>
        <family val="2"/>
      </rPr>
      <t xml:space="preserve">人</t>
    </r>
    <r>
      <rPr>
        <sz val="10"/>
        <rFont val="Arial"/>
        <family val="0"/>
        <charset val="1"/>
      </rPr>
      <t xml:space="preserve">)</t>
    </r>
  </si>
  <si>
    <r>
      <rPr>
        <sz val="10"/>
        <rFont val="WenQuanYi Zen Hei"/>
        <family val="2"/>
      </rPr>
      <t xml:space="preserve">最后一阶段未收集</t>
    </r>
    <r>
      <rPr>
        <sz val="10"/>
        <rFont val="Arial"/>
        <family val="0"/>
        <charset val="1"/>
      </rPr>
      <t xml:space="preserve">IOA(</t>
    </r>
    <r>
      <rPr>
        <sz val="10"/>
        <rFont val="WenQuanYi Zen Hei"/>
        <family val="2"/>
      </rPr>
      <t xml:space="preserve">作者自述</t>
    </r>
    <r>
      <rPr>
        <sz val="10"/>
        <rFont val="Arial"/>
        <family val="0"/>
        <charset val="1"/>
      </rPr>
      <t xml:space="preserve">)</t>
    </r>
  </si>
  <si>
    <r>
      <rPr>
        <sz val="10"/>
        <rFont val="Arial"/>
        <family val="0"/>
        <charset val="1"/>
      </rPr>
      <t xml:space="preserve">IOA</t>
    </r>
    <r>
      <rPr>
        <sz val="10"/>
        <rFont val="WenQuanYi Zen Hei"/>
        <family val="2"/>
      </rPr>
      <t xml:space="preserve">未覆盖每一阶段</t>
    </r>
  </si>
  <si>
    <r>
      <rPr>
        <sz val="10"/>
        <rFont val="Arial"/>
        <family val="0"/>
        <charset val="1"/>
      </rPr>
      <t xml:space="preserve">IOA</t>
    </r>
    <r>
      <rPr>
        <sz val="10"/>
        <rFont val="WenQuanYi Zen Hei"/>
        <family val="2"/>
      </rPr>
      <t xml:space="preserve">占全部数据点</t>
    </r>
    <r>
      <rPr>
        <sz val="10"/>
        <rFont val="Arial"/>
        <family val="0"/>
        <charset val="1"/>
      </rPr>
      <t xml:space="preserve">21%</t>
    </r>
  </si>
  <si>
    <r>
      <rPr>
        <sz val="10"/>
        <rFont val="Arial"/>
        <family val="0"/>
        <charset val="1"/>
      </rPr>
      <t xml:space="preserve">015-A </t>
    </r>
    <r>
      <rPr>
        <sz val="10"/>
        <rFont val="WenQuanYi Zen Hei"/>
        <family val="2"/>
      </rPr>
      <t xml:space="preserve">运用结构分析探讨孤独症高中生同伴支持安排的效果与个别化</t>
    </r>
  </si>
  <si>
    <r>
      <rPr>
        <sz val="10"/>
        <rFont val="WenQuanYi Zen Hei"/>
        <family val="2"/>
      </rPr>
      <t xml:space="preserve">多探测</t>
    </r>
    <r>
      <rPr>
        <sz val="10"/>
        <rFont val="Arial"/>
        <family val="0"/>
        <charset val="1"/>
      </rPr>
      <t xml:space="preserve">(3</t>
    </r>
    <r>
      <rPr>
        <sz val="10"/>
        <rFont val="WenQuanYi Zen Hei"/>
        <family val="2"/>
      </rPr>
      <t xml:space="preserve">人</t>
    </r>
    <r>
      <rPr>
        <sz val="10"/>
        <rFont val="Arial"/>
        <family val="0"/>
        <charset val="1"/>
      </rPr>
      <t xml:space="preserve">)</t>
    </r>
    <r>
      <rPr>
        <sz val="10"/>
        <rFont val="WenQuanYi Zen Hei"/>
        <family val="2"/>
      </rPr>
      <t xml:space="preserve">；另含交替处理结构分析</t>
    </r>
  </si>
  <si>
    <r>
      <rPr>
        <sz val="10"/>
        <rFont val="WenQuanYi Zen Hei"/>
        <family val="2"/>
      </rPr>
      <t xml:space="preserve">首</t>
    </r>
    <r>
      <rPr>
        <sz val="10"/>
        <rFont val="Arial"/>
        <family val="0"/>
        <charset val="1"/>
      </rPr>
      <t xml:space="preserve">3</t>
    </r>
    <r>
      <rPr>
        <sz val="10"/>
        <rFont val="WenQuanYi Zen Hei"/>
        <family val="2"/>
      </rPr>
      <t xml:space="preserve">次会话内</t>
    </r>
    <r>
      <rPr>
        <sz val="10"/>
        <rFont val="Arial"/>
        <family val="0"/>
        <charset val="1"/>
      </rPr>
      <t xml:space="preserve">Allen(</t>
    </r>
    <r>
      <rPr>
        <sz val="10"/>
        <rFont val="WenQuanYi Zen Hei"/>
        <family val="2"/>
      </rPr>
      <t xml:space="preserve">首点第</t>
    </r>
    <r>
      <rPr>
        <sz val="10"/>
        <rFont val="Arial"/>
        <family val="0"/>
        <charset val="1"/>
      </rPr>
      <t xml:space="preserve">6</t>
    </r>
    <r>
      <rPr>
        <sz val="10"/>
        <rFont val="WenQuanYi Zen Hei"/>
        <family val="2"/>
      </rPr>
      <t xml:space="preserve">次</t>
    </r>
    <r>
      <rPr>
        <sz val="10"/>
        <rFont val="Arial"/>
        <family val="0"/>
        <charset val="1"/>
      </rPr>
      <t xml:space="preserve">)</t>
    </r>
    <r>
      <rPr>
        <sz val="10"/>
        <rFont val="WenQuanYi Zen Hei"/>
        <family val="2"/>
      </rPr>
      <t xml:space="preserve">、</t>
    </r>
    <r>
      <rPr>
        <sz val="10"/>
        <rFont val="Arial"/>
        <family val="0"/>
        <charset val="1"/>
      </rPr>
      <t xml:space="preserve">Nathan(</t>
    </r>
    <r>
      <rPr>
        <sz val="10"/>
        <rFont val="WenQuanYi Zen Hei"/>
        <family val="2"/>
      </rPr>
      <t xml:space="preserve">首点第</t>
    </r>
    <r>
      <rPr>
        <sz val="10"/>
        <rFont val="Arial"/>
        <family val="0"/>
        <charset val="1"/>
      </rPr>
      <t xml:space="preserve">7</t>
    </r>
    <r>
      <rPr>
        <sz val="10"/>
        <rFont val="WenQuanYi Zen Hei"/>
        <family val="2"/>
      </rPr>
      <t xml:space="preserve">次</t>
    </r>
    <r>
      <rPr>
        <sz val="10"/>
        <rFont val="Arial"/>
        <family val="0"/>
        <charset val="1"/>
      </rPr>
      <t xml:space="preserve">)</t>
    </r>
    <r>
      <rPr>
        <sz val="10"/>
        <rFont val="WenQuanYi Zen Hei"/>
        <family val="2"/>
      </rPr>
      <t xml:space="preserve">无探测点；</t>
    </r>
    <r>
      <rPr>
        <sz val="10"/>
        <rFont val="Arial"/>
        <family val="0"/>
        <charset val="1"/>
      </rPr>
      <t xml:space="preserve">Samuel</t>
    </r>
    <r>
      <rPr>
        <sz val="10"/>
        <rFont val="WenQuanYi Zen Hei"/>
        <family val="2"/>
      </rPr>
      <t xml:space="preserve">干预前</t>
    </r>
    <r>
      <rPr>
        <sz val="10"/>
        <rFont val="Arial"/>
        <family val="0"/>
        <charset val="1"/>
      </rPr>
      <t xml:space="preserve">3</t>
    </r>
    <r>
      <rPr>
        <sz val="10"/>
        <rFont val="WenQuanYi Zen Hei"/>
        <family val="2"/>
      </rPr>
      <t xml:space="preserve">次会话</t>
    </r>
    <r>
      <rPr>
        <sz val="10"/>
        <rFont val="Arial"/>
        <family val="0"/>
        <charset val="1"/>
      </rPr>
      <t xml:space="preserve">(18–20)</t>
    </r>
    <r>
      <rPr>
        <sz val="10"/>
        <rFont val="WenQuanYi Zen Hei"/>
        <family val="2"/>
      </rPr>
      <t xml:space="preserve">无探测点</t>
    </r>
  </si>
  <si>
    <r>
      <rPr>
        <sz val="10"/>
        <rFont val="WenQuanYi Zen Hei"/>
        <family val="2"/>
      </rPr>
      <t xml:space="preserve">首</t>
    </r>
    <r>
      <rPr>
        <sz val="10"/>
        <rFont val="Arial"/>
        <family val="0"/>
        <charset val="1"/>
      </rPr>
      <t xml:space="preserve">3</t>
    </r>
    <r>
      <rPr>
        <sz val="10"/>
        <rFont val="WenQuanYi Zen Hei"/>
        <family val="2"/>
      </rPr>
      <t xml:space="preserve">次会话内无三层垂直重叠的探测点</t>
    </r>
  </si>
  <si>
    <r>
      <rPr>
        <sz val="10"/>
        <rFont val="WenQuanYi Zen Hei"/>
        <family val="2"/>
      </rPr>
      <t xml:space="preserve">严格按横轴会话编号判断；</t>
    </r>
    <r>
      <rPr>
        <sz val="10"/>
        <rFont val="Arial"/>
        <family val="0"/>
        <charset val="1"/>
      </rPr>
      <t xml:space="preserve">IOA 48.4%</t>
    </r>
    <r>
      <rPr>
        <sz val="10"/>
        <rFont val="WenQuanYi Zen Hei"/>
        <family val="2"/>
      </rPr>
      <t xml:space="preserve">，主要结局</t>
    </r>
    <r>
      <rPr>
        <sz val="10"/>
        <rFont val="Arial"/>
        <family val="0"/>
        <charset val="1"/>
      </rPr>
      <t xml:space="preserve">&gt;90%</t>
    </r>
  </si>
  <si>
    <r>
      <rPr>
        <sz val="10"/>
        <rFont val="Arial"/>
        <family val="0"/>
        <charset val="1"/>
      </rPr>
      <t xml:space="preserve">016-A </t>
    </r>
    <r>
      <rPr>
        <sz val="10"/>
        <rFont val="WenQuanYi Zen Hei"/>
        <family val="2"/>
      </rPr>
      <t xml:space="preserve">游戏时间到了：课间休息期间针对一名孤独症学生的同伴介入干预</t>
    </r>
  </si>
  <si>
    <r>
      <rPr>
        <sz val="10"/>
        <rFont val="WenQuanYi Zen Hei"/>
        <family val="2"/>
      </rPr>
      <t xml:space="preserve">多探测跨</t>
    </r>
    <r>
      <rPr>
        <sz val="10"/>
        <rFont val="Arial"/>
        <family val="0"/>
        <charset val="1"/>
      </rPr>
      <t xml:space="preserve">3</t>
    </r>
    <r>
      <rPr>
        <sz val="10"/>
        <rFont val="WenQuanYi Zen Hei"/>
        <family val="2"/>
      </rPr>
      <t xml:space="preserve">名同伴</t>
    </r>
    <r>
      <rPr>
        <sz val="10"/>
        <rFont val="Arial"/>
        <family val="0"/>
        <charset val="1"/>
      </rPr>
      <t xml:space="preserve">(</t>
    </r>
    <r>
      <rPr>
        <sz val="10"/>
        <rFont val="WenQuanYi Zen Hei"/>
        <family val="2"/>
      </rPr>
      <t xml:space="preserve">焦点儿童</t>
    </r>
    <r>
      <rPr>
        <sz val="10"/>
        <rFont val="Arial"/>
        <family val="0"/>
        <charset val="1"/>
      </rPr>
      <t xml:space="preserve">Eve 1</t>
    </r>
    <r>
      <rPr>
        <sz val="10"/>
        <rFont val="WenQuanYi Zen Hei"/>
        <family val="2"/>
      </rPr>
      <t xml:space="preserve">人</t>
    </r>
    <r>
      <rPr>
        <sz val="10"/>
        <rFont val="Arial"/>
        <family val="0"/>
        <charset val="1"/>
      </rPr>
      <t xml:space="preserve">)</t>
    </r>
  </si>
  <si>
    <r>
      <rPr>
        <sz val="10"/>
        <rFont val="Arial"/>
        <family val="0"/>
        <charset val="1"/>
      </rPr>
      <t xml:space="preserve">Jamie</t>
    </r>
    <r>
      <rPr>
        <sz val="10"/>
        <rFont val="WenQuanYi Zen Hei"/>
        <family val="2"/>
      </rPr>
      <t xml:space="preserve">基线</t>
    </r>
    <r>
      <rPr>
        <sz val="10"/>
        <rFont val="Arial"/>
        <family val="0"/>
        <charset val="1"/>
      </rPr>
      <t xml:space="preserve">3–4</t>
    </r>
    <r>
      <rPr>
        <sz val="10"/>
        <rFont val="WenQuanYi Zen Hei"/>
        <family val="2"/>
      </rPr>
      <t xml:space="preserve">点；</t>
    </r>
    <r>
      <rPr>
        <sz val="10"/>
        <rFont val="Arial"/>
        <family val="0"/>
        <charset val="1"/>
      </rPr>
      <t xml:space="preserve">Ashley</t>
    </r>
    <r>
      <rPr>
        <sz val="10"/>
        <rFont val="WenQuanYi Zen Hei"/>
        <family val="2"/>
      </rPr>
      <t xml:space="preserve">干预期仅</t>
    </r>
    <r>
      <rPr>
        <sz val="10"/>
        <rFont val="Arial"/>
        <family val="0"/>
        <charset val="1"/>
      </rPr>
      <t xml:space="preserve">3</t>
    </r>
    <r>
      <rPr>
        <sz val="10"/>
        <rFont val="WenQuanYi Zen Hei"/>
        <family val="2"/>
      </rPr>
      <t xml:space="preserve">点；干预前探测不足</t>
    </r>
    <r>
      <rPr>
        <sz val="10"/>
        <rFont val="Arial"/>
        <family val="0"/>
        <charset val="1"/>
      </rPr>
      <t xml:space="preserve">3</t>
    </r>
    <r>
      <rPr>
        <sz val="10"/>
        <rFont val="WenQuanYi Zen Hei"/>
        <family val="2"/>
      </rPr>
      <t xml:space="preserve">个</t>
    </r>
  </si>
  <si>
    <r>
      <rPr>
        <sz val="10"/>
        <rFont val="WenQuanYi Zen Hei"/>
        <family val="2"/>
      </rPr>
      <t xml:space="preserve">首个基线</t>
    </r>
    <r>
      <rPr>
        <sz val="10"/>
        <rFont val="Arial"/>
        <family val="0"/>
        <charset val="1"/>
      </rPr>
      <t xml:space="preserve">&lt;6</t>
    </r>
    <r>
      <rPr>
        <sz val="10"/>
        <rFont val="WenQuanYi Zen Hei"/>
        <family val="2"/>
      </rPr>
      <t xml:space="preserve">点；</t>
    </r>
    <r>
      <rPr>
        <sz val="10"/>
        <rFont val="Arial"/>
        <family val="0"/>
        <charset val="1"/>
      </rPr>
      <t xml:space="preserve">Ashley</t>
    </r>
    <r>
      <rPr>
        <sz val="10"/>
        <rFont val="WenQuanYi Zen Hei"/>
        <family val="2"/>
      </rPr>
      <t xml:space="preserve">干预</t>
    </r>
    <r>
      <rPr>
        <sz val="10"/>
        <rFont val="Arial"/>
        <family val="0"/>
        <charset val="1"/>
      </rPr>
      <t xml:space="preserve">3</t>
    </r>
    <r>
      <rPr>
        <sz val="10"/>
        <rFont val="WenQuanYi Zen Hei"/>
        <family val="2"/>
      </rPr>
      <t xml:space="preserve">点</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</si>
  <si>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Eve</t>
    </r>
    <r>
      <rPr>
        <sz val="10"/>
        <rFont val="WenQuanYi Zen Hei"/>
        <family val="2"/>
      </rPr>
      <t xml:space="preserve">沟通</t>
    </r>
    <r>
      <rPr>
        <sz val="10"/>
        <rFont val="Arial"/>
        <family val="0"/>
        <charset val="1"/>
      </rPr>
      <t xml:space="preserve">/</t>
    </r>
    <r>
      <rPr>
        <sz val="10"/>
        <rFont val="WenQuanYi Zen Hei"/>
        <family val="2"/>
      </rPr>
      <t xml:space="preserve">游戏；同伴</t>
    </r>
    <r>
      <rPr>
        <sz val="10"/>
        <rFont val="Arial"/>
        <family val="0"/>
        <charset val="1"/>
      </rPr>
      <t xml:space="preserve">PRT</t>
    </r>
    <r>
      <rPr>
        <sz val="10"/>
        <rFont val="WenQuanYi Zen Hei"/>
        <family val="2"/>
      </rPr>
      <t xml:space="preserve">使用为强</t>
    </r>
    <r>
      <rPr>
        <sz val="10"/>
        <rFont val="Arial"/>
        <family val="0"/>
        <charset val="1"/>
      </rPr>
      <t xml:space="preserve">)</t>
    </r>
  </si>
  <si>
    <r>
      <rPr>
        <sz val="10"/>
        <rFont val="Arial"/>
        <family val="0"/>
        <charset val="1"/>
      </rPr>
      <t xml:space="preserve">IOA 80%</t>
    </r>
    <r>
      <rPr>
        <sz val="10"/>
        <rFont val="WenQuanYi Zen Hei"/>
        <family val="2"/>
      </rPr>
      <t xml:space="preserve">会话，</t>
    </r>
    <r>
      <rPr>
        <sz val="10"/>
        <rFont val="Arial"/>
        <family val="0"/>
        <charset val="1"/>
      </rPr>
      <t xml:space="preserve">Eve</t>
    </r>
    <r>
      <rPr>
        <sz val="10"/>
        <rFont val="WenQuanYi Zen Hei"/>
        <family val="2"/>
      </rPr>
      <t xml:space="preserve">沟通</t>
    </r>
    <r>
      <rPr>
        <sz val="10"/>
        <rFont val="Arial"/>
        <family val="0"/>
        <charset val="1"/>
      </rPr>
      <t xml:space="preserve">96%</t>
    </r>
    <r>
      <rPr>
        <sz val="10"/>
        <rFont val="WenQuanYi Zen Hei"/>
        <family val="2"/>
      </rPr>
      <t xml:space="preserve">、游戏</t>
    </r>
    <r>
      <rPr>
        <sz val="10"/>
        <rFont val="Arial"/>
        <family val="0"/>
        <charset val="1"/>
      </rPr>
      <t xml:space="preserve">86%</t>
    </r>
  </si>
  <si>
    <r>
      <rPr>
        <b val="true"/>
        <sz val="10"/>
        <rFont val="Arial"/>
        <family val="0"/>
        <charset val="1"/>
      </rPr>
      <t xml:space="preserve">017-A </t>
    </r>
    <r>
      <rPr>
        <b val="true"/>
        <sz val="10"/>
        <rFont val="WenQuanYi Zen Hei"/>
        <family val="2"/>
      </rPr>
      <t xml:space="preserve">改编与未改编读物对有广泛支持需求学生理解表现影响的比较</t>
    </r>
  </si>
  <si>
    <r>
      <rPr>
        <sz val="10"/>
        <rFont val="WenQuanYi Zen Hei"/>
        <family val="2"/>
      </rPr>
      <t xml:space="preserve">重复习得设计</t>
    </r>
    <r>
      <rPr>
        <sz val="10"/>
        <rFont val="Arial"/>
        <family val="0"/>
        <charset val="1"/>
      </rPr>
      <t xml:space="preserve">(2</t>
    </r>
    <r>
      <rPr>
        <sz val="10"/>
        <rFont val="WenQuanYi Zen Hei"/>
        <family val="2"/>
      </rPr>
      <t xml:space="preserve">人；改编书 </t>
    </r>
    <r>
      <rPr>
        <sz val="10"/>
        <rFont val="Arial"/>
        <family val="0"/>
        <charset val="1"/>
      </rPr>
      <t xml:space="preserve">vs </t>
    </r>
    <r>
      <rPr>
        <sz val="10"/>
        <rFont val="WenQuanYi Zen Hei"/>
        <family val="2"/>
      </rPr>
      <t xml:space="preserve">未改编书</t>
    </r>
    <r>
      <rPr>
        <sz val="10"/>
        <rFont val="Arial"/>
        <family val="0"/>
        <charset val="1"/>
      </rPr>
      <t xml:space="preserve">)</t>
    </r>
  </si>
  <si>
    <r>
      <rPr>
        <sz val="10"/>
        <rFont val="Arial"/>
        <family val="0"/>
        <charset val="1"/>
      </rPr>
      <t xml:space="preserve">3.0</t>
    </r>
    <r>
      <rPr>
        <sz val="10"/>
        <rFont val="WenQuanYi Zen Hei"/>
        <family val="2"/>
      </rPr>
      <t xml:space="preserve">只有撤回</t>
    </r>
    <r>
      <rPr>
        <sz val="10"/>
        <rFont val="Arial"/>
        <family val="0"/>
        <charset val="1"/>
      </rPr>
      <t xml:space="preserve">/</t>
    </r>
    <r>
      <rPr>
        <sz val="10"/>
        <rFont val="WenQuanYi Zen Hei"/>
        <family val="2"/>
      </rPr>
      <t xml:space="preserve">多基线</t>
    </r>
    <r>
      <rPr>
        <sz val="10"/>
        <rFont val="Arial"/>
        <family val="0"/>
        <charset val="1"/>
      </rPr>
      <t xml:space="preserve">/</t>
    </r>
    <r>
      <rPr>
        <sz val="10"/>
        <rFont val="WenQuanYi Zen Hei"/>
        <family val="2"/>
      </rPr>
      <t xml:space="preserve">交替处理三类标准，重复习得设计无对应标准</t>
    </r>
  </si>
  <si>
    <r>
      <rPr>
        <sz val="10"/>
        <rFont val="WenQuanYi Zen Hei"/>
        <family val="2"/>
      </rPr>
      <t xml:space="preserve">有保留</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</si>
  <si>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WenQuanYi Zen Hei"/>
        <family val="2"/>
      </rPr>
      <t xml:space="preserve">按</t>
    </r>
    <r>
      <rPr>
        <sz val="10"/>
        <rFont val="Arial"/>
        <family val="0"/>
        <charset val="1"/>
      </rPr>
      <t xml:space="preserve">5.0"</t>
    </r>
    <r>
      <rPr>
        <sz val="10"/>
        <rFont val="WenQuanYi Zen Hei"/>
        <family val="2"/>
      </rPr>
      <t xml:space="preserve">其他单一被试设计</t>
    </r>
    <r>
      <rPr>
        <sz val="10"/>
        <rFont val="Arial"/>
        <family val="0"/>
        <charset val="1"/>
      </rPr>
      <t xml:space="preserve">"</t>
    </r>
    <r>
      <rPr>
        <sz val="10"/>
        <rFont val="WenQuanYi Zen Hei"/>
        <family val="2"/>
      </rPr>
      <t xml:space="preserve">条款：每人</t>
    </r>
    <r>
      <rPr>
        <sz val="10"/>
        <rFont val="Arial"/>
        <family val="0"/>
        <charset val="1"/>
      </rPr>
      <t xml:space="preserve">5</t>
    </r>
    <r>
      <rPr>
        <sz val="10"/>
        <rFont val="WenQuanYi Zen Hei"/>
        <family val="2"/>
      </rPr>
      <t xml:space="preserve">次比较、</t>
    </r>
    <r>
      <rPr>
        <sz val="10"/>
        <rFont val="Arial"/>
        <family val="0"/>
        <charset val="1"/>
      </rPr>
      <t xml:space="preserve">3</t>
    </r>
    <r>
      <rPr>
        <sz val="10"/>
        <rFont val="WenQuanYi Zen Hei"/>
        <family val="2"/>
      </rPr>
      <t xml:space="preserve">个以上时间点；存在偏倚风险→最高有保留</t>
    </r>
  </si>
  <si>
    <r>
      <rPr>
        <sz val="10"/>
        <rFont val="Arial"/>
        <family val="0"/>
        <charset val="1"/>
      </rPr>
      <t xml:space="preserve">5.0</t>
    </r>
    <r>
      <rPr>
        <sz val="10"/>
        <rFont val="WenQuanYi Zen Hei"/>
        <family val="2"/>
      </rPr>
      <t xml:space="preserve">新增</t>
    </r>
    <r>
      <rPr>
        <sz val="10"/>
        <rFont val="Arial"/>
        <family val="0"/>
        <charset val="1"/>
      </rPr>
      <t xml:space="preserve">"</t>
    </r>
    <r>
      <rPr>
        <sz val="10"/>
        <rFont val="WenQuanYi Zen Hei"/>
        <family val="2"/>
      </rPr>
      <t xml:space="preserve">其他设计</t>
    </r>
    <r>
      <rPr>
        <sz val="10"/>
        <rFont val="Arial"/>
        <family val="0"/>
        <charset val="1"/>
      </rPr>
      <t xml:space="preserve">"</t>
    </r>
    <r>
      <rPr>
        <sz val="10"/>
        <rFont val="WenQuanYi Zen Hei"/>
        <family val="2"/>
      </rPr>
      <t xml:space="preserve">条款</t>
    </r>
  </si>
  <si>
    <r>
      <rPr>
        <sz val="10"/>
        <rFont val="Arial"/>
        <family val="0"/>
        <charset val="1"/>
      </rPr>
      <t xml:space="preserve">IOA 40%</t>
    </r>
    <r>
      <rPr>
        <sz val="10"/>
        <rFont val="WenQuanYi Zen Hei"/>
        <family val="2"/>
      </rPr>
      <t xml:space="preserve">，</t>
    </r>
    <r>
      <rPr>
        <sz val="10"/>
        <rFont val="Arial"/>
        <family val="0"/>
        <charset val="1"/>
      </rPr>
      <t xml:space="preserve">80–100%</t>
    </r>
  </si>
  <si>
    <r>
      <rPr>
        <sz val="10"/>
        <rFont val="Arial"/>
        <family val="0"/>
        <charset val="1"/>
      </rPr>
      <t xml:space="preserve">018-A </t>
    </r>
    <r>
      <rPr>
        <sz val="10"/>
        <rFont val="WenQuanYi Zen Hei"/>
        <family val="2"/>
      </rPr>
      <t xml:space="preserve">多重表征促进孤独症学生早期代数思维的效果</t>
    </r>
  </si>
  <si>
    <r>
      <rPr>
        <sz val="10"/>
        <rFont val="WenQuanYi Zen Hei"/>
        <family val="2"/>
      </rPr>
      <t xml:space="preserve">多探测</t>
    </r>
    <r>
      <rPr>
        <sz val="10"/>
        <rFont val="Arial"/>
        <family val="0"/>
        <charset val="1"/>
      </rPr>
      <t xml:space="preserve">(3</t>
    </r>
    <r>
      <rPr>
        <sz val="10"/>
        <rFont val="WenQuanYi Zen Hei"/>
        <family val="2"/>
      </rPr>
      <t xml:space="preserve">人；实际每次会话均测</t>
    </r>
    <r>
      <rPr>
        <sz val="10"/>
        <rFont val="Arial"/>
        <family val="0"/>
        <charset val="1"/>
      </rPr>
      <t xml:space="preserve">)</t>
    </r>
  </si>
  <si>
    <r>
      <rPr>
        <sz val="10"/>
        <rFont val="WenQuanYi Zen Hei"/>
        <family val="2"/>
      </rPr>
      <t xml:space="preserve">各层训练期仅</t>
    </r>
    <r>
      <rPr>
        <sz val="10"/>
        <rFont val="Arial"/>
        <family val="0"/>
        <charset val="1"/>
      </rPr>
      <t xml:space="preserve">4</t>
    </r>
    <r>
      <rPr>
        <sz val="10"/>
        <rFont val="WenQuanYi Zen Hei"/>
        <family val="2"/>
      </rPr>
      <t xml:space="preserve">点；学生</t>
    </r>
    <r>
      <rPr>
        <sz val="10"/>
        <rFont val="Arial"/>
        <family val="0"/>
        <charset val="1"/>
      </rPr>
      <t xml:space="preserve">A</t>
    </r>
    <r>
      <rPr>
        <sz val="10"/>
        <rFont val="WenQuanYi Zen Hei"/>
        <family val="2"/>
      </rPr>
      <t xml:space="preserve">基线</t>
    </r>
    <r>
      <rPr>
        <sz val="10"/>
        <rFont val="Arial"/>
        <family val="0"/>
        <charset val="1"/>
      </rPr>
      <t xml:space="preserve">5</t>
    </r>
    <r>
      <rPr>
        <sz val="10"/>
        <rFont val="WenQuanYi Zen Hei"/>
        <family val="2"/>
      </rPr>
      <t xml:space="preserve">点</t>
    </r>
  </si>
  <si>
    <r>
      <rPr>
        <sz val="10"/>
        <rFont val="Arial"/>
        <family val="0"/>
        <charset val="1"/>
      </rPr>
      <t xml:space="preserve">A</t>
    </r>
    <r>
      <rPr>
        <sz val="10"/>
        <rFont val="WenQuanYi Zen Hei"/>
        <family val="2"/>
      </rPr>
      <t xml:space="preserve">基线</t>
    </r>
    <r>
      <rPr>
        <sz val="10"/>
        <rFont val="Arial"/>
        <family val="0"/>
        <charset val="1"/>
      </rPr>
      <t xml:space="preserve">5</t>
    </r>
    <r>
      <rPr>
        <sz val="10"/>
        <rFont val="WenQuanYi Zen Hei"/>
        <family val="2"/>
      </rPr>
      <t xml:space="preserve">点</t>
    </r>
    <r>
      <rPr>
        <sz val="10"/>
        <rFont val="Arial"/>
        <family val="0"/>
        <charset val="1"/>
      </rPr>
      <t xml:space="preserve">(&lt;6)</t>
    </r>
    <r>
      <rPr>
        <sz val="10"/>
        <rFont val="WenQuanYi Zen Hei"/>
        <family val="2"/>
      </rPr>
      <t xml:space="preserve">；训练期</t>
    </r>
    <r>
      <rPr>
        <sz val="10"/>
        <rFont val="Arial"/>
        <family val="0"/>
        <charset val="1"/>
      </rPr>
      <t xml:space="preserve">4</t>
    </r>
    <r>
      <rPr>
        <sz val="10"/>
        <rFont val="WenQuanYi Zen Hei"/>
        <family val="2"/>
      </rPr>
      <t xml:space="preserve">点</t>
    </r>
  </si>
  <si>
    <r>
      <rPr>
        <sz val="10"/>
        <rFont val="Arial"/>
        <family val="0"/>
        <charset val="1"/>
      </rPr>
      <t xml:space="preserve">IOA</t>
    </r>
    <r>
      <rPr>
        <sz val="10"/>
        <rFont val="WenQuanYi Zen Hei"/>
        <family val="2"/>
      </rPr>
      <t xml:space="preserve">约</t>
    </r>
    <r>
      <rPr>
        <sz val="10"/>
        <rFont val="Arial"/>
        <family val="0"/>
        <charset val="1"/>
      </rPr>
      <t xml:space="preserve">39%</t>
    </r>
    <r>
      <rPr>
        <sz val="10"/>
        <rFont val="WenQuanYi Zen Hei"/>
        <family val="2"/>
      </rPr>
      <t xml:space="preserve">基线</t>
    </r>
    <r>
      <rPr>
        <sz val="10"/>
        <rFont val="Arial"/>
        <family val="0"/>
        <charset val="1"/>
      </rPr>
      <t xml:space="preserve">/50%</t>
    </r>
    <r>
      <rPr>
        <sz val="10"/>
        <rFont val="WenQuanYi Zen Hei"/>
        <family val="2"/>
      </rPr>
      <t xml:space="preserve">训练，各阶段</t>
    </r>
    <r>
      <rPr>
        <sz val="10"/>
        <rFont val="Arial"/>
        <family val="0"/>
        <charset val="1"/>
      </rPr>
      <t xml:space="preserve">86–100%</t>
    </r>
  </si>
  <si>
    <r>
      <rPr>
        <sz val="10"/>
        <rFont val="Arial"/>
        <family val="0"/>
        <charset val="1"/>
      </rPr>
      <t xml:space="preserve">020-A </t>
    </r>
    <r>
      <rPr>
        <sz val="10"/>
        <rFont val="WenQuanYi Zen Hei"/>
        <family val="2"/>
      </rPr>
      <t xml:space="preserve">在教学中嵌入特殊兴趣领域对孤独症谱系障碍儿童参与行为和离座行为的影响</t>
    </r>
  </si>
  <si>
    <r>
      <rPr>
        <sz val="10"/>
        <rFont val="Arial"/>
        <family val="0"/>
        <charset val="1"/>
      </rPr>
      <t xml:space="preserve">Joy</t>
    </r>
    <r>
      <rPr>
        <sz val="10"/>
        <rFont val="WenQuanYi Zen Hei"/>
        <family val="2"/>
      </rPr>
      <t xml:space="preserve">基线仅</t>
    </r>
    <r>
      <rPr>
        <sz val="10"/>
        <rFont val="Arial"/>
        <family val="0"/>
        <charset val="1"/>
      </rPr>
      <t xml:space="preserve">4</t>
    </r>
    <r>
      <rPr>
        <sz val="10"/>
        <rFont val="WenQuanYi Zen Hei"/>
        <family val="2"/>
      </rPr>
      <t xml:space="preserve">点</t>
    </r>
  </si>
  <si>
    <r>
      <rPr>
        <sz val="10"/>
        <rFont val="Arial"/>
        <family val="0"/>
        <charset val="1"/>
      </rPr>
      <t xml:space="preserve">Joy</t>
    </r>
    <r>
      <rPr>
        <sz val="10"/>
        <rFont val="WenQuanYi Zen Hei"/>
        <family val="2"/>
      </rPr>
      <t xml:space="preserve">基线</t>
    </r>
    <r>
      <rPr>
        <sz val="10"/>
        <rFont val="Arial"/>
        <family val="0"/>
        <charset val="1"/>
      </rPr>
      <t xml:space="preserve">&lt;6</t>
    </r>
    <r>
      <rPr>
        <sz val="10"/>
        <rFont val="WenQuanYi Zen Hei"/>
        <family val="2"/>
      </rPr>
      <t xml:space="preserve">点</t>
    </r>
  </si>
  <si>
    <r>
      <rPr>
        <sz val="10"/>
        <rFont val="WenQuanYi Zen Hei"/>
        <family val="2"/>
      </rPr>
      <t xml:space="preserve">强</t>
    </r>
    <r>
      <rPr>
        <sz val="10"/>
        <rFont val="Arial"/>
        <family val="0"/>
        <charset val="1"/>
      </rPr>
      <t xml:space="preserve">(</t>
    </r>
    <r>
      <rPr>
        <sz val="10"/>
        <rFont val="WenQuanYi Zen Hei"/>
        <family val="2"/>
      </rPr>
      <t xml:space="preserve">初判，投入行为</t>
    </r>
    <r>
      <rPr>
        <sz val="10"/>
        <rFont val="Arial"/>
        <family val="0"/>
        <charset val="1"/>
      </rPr>
      <t xml:space="preserve">)</t>
    </r>
  </si>
  <si>
    <r>
      <rPr>
        <sz val="10"/>
        <rFont val="Arial"/>
        <family val="0"/>
        <charset val="1"/>
      </rPr>
      <t xml:space="preserve">IOA≥25%</t>
    </r>
    <r>
      <rPr>
        <sz val="10"/>
        <rFont val="WenQuanYi Zen Hei"/>
        <family val="2"/>
      </rPr>
      <t xml:space="preserve">，</t>
    </r>
    <r>
      <rPr>
        <sz val="10"/>
        <rFont val="Arial"/>
        <family val="0"/>
        <charset val="1"/>
      </rPr>
      <t xml:space="preserve">95–100%</t>
    </r>
  </si>
  <si>
    <r>
      <rPr>
        <sz val="10"/>
        <rFont val="Arial"/>
        <family val="0"/>
        <charset val="1"/>
      </rPr>
      <t xml:space="preserve">021-A </t>
    </r>
    <r>
      <rPr>
        <sz val="10"/>
        <rFont val="WenQuanYi Zen Hei"/>
        <family val="2"/>
      </rPr>
      <t xml:space="preserve">融合学前情境中同伴介入共同注意干预的效果</t>
    </r>
  </si>
  <si>
    <r>
      <rPr>
        <sz val="10"/>
        <rFont val="WenQuanYi Zen Hei"/>
        <family val="2"/>
      </rPr>
      <t xml:space="preserve">同时多基线</t>
    </r>
    <r>
      <rPr>
        <sz val="10"/>
        <rFont val="Arial"/>
        <family val="0"/>
        <charset val="1"/>
      </rPr>
      <t xml:space="preserve">(3</t>
    </r>
    <r>
      <rPr>
        <sz val="10"/>
        <rFont val="WenQuanYi Zen Hei"/>
        <family val="2"/>
      </rPr>
      <t xml:space="preserve">对</t>
    </r>
    <r>
      <rPr>
        <sz val="10"/>
        <rFont val="Arial"/>
        <family val="0"/>
        <charset val="1"/>
      </rPr>
      <t xml:space="preserve">)</t>
    </r>
  </si>
  <si>
    <r>
      <rPr>
        <sz val="10"/>
        <rFont val="WenQuanYi Zen Hei"/>
        <family val="2"/>
      </rPr>
      <t xml:space="preserve">第</t>
    </r>
    <r>
      <rPr>
        <sz val="10"/>
        <rFont val="Arial"/>
        <family val="0"/>
        <charset val="1"/>
      </rPr>
      <t xml:space="preserve">3</t>
    </r>
    <r>
      <rPr>
        <sz val="10"/>
        <rFont val="WenQuanYi Zen Hei"/>
        <family val="2"/>
      </rPr>
      <t xml:space="preserve">对干预期仅</t>
    </r>
    <r>
      <rPr>
        <sz val="10"/>
        <rFont val="Arial"/>
        <family val="0"/>
        <charset val="1"/>
      </rPr>
      <t xml:space="preserve">4</t>
    </r>
    <r>
      <rPr>
        <sz val="10"/>
        <rFont val="WenQuanYi Zen Hei"/>
        <family val="2"/>
      </rPr>
      <t xml:space="preserve">点</t>
    </r>
  </si>
  <si>
    <r>
      <rPr>
        <sz val="10"/>
        <rFont val="WenQuanYi Zen Hei"/>
        <family val="2"/>
      </rPr>
      <t xml:space="preserve">第</t>
    </r>
    <r>
      <rPr>
        <sz val="10"/>
        <rFont val="Arial"/>
        <family val="0"/>
        <charset val="1"/>
      </rPr>
      <t xml:space="preserve">3</t>
    </r>
    <r>
      <rPr>
        <sz val="10"/>
        <rFont val="WenQuanYi Zen Hei"/>
        <family val="2"/>
      </rPr>
      <t xml:space="preserve">对干预期</t>
    </r>
    <r>
      <rPr>
        <sz val="10"/>
        <rFont val="Arial"/>
        <family val="0"/>
        <charset val="1"/>
      </rPr>
      <t xml:space="preserve">4</t>
    </r>
    <r>
      <rPr>
        <sz val="10"/>
        <rFont val="WenQuanYi Zen Hei"/>
        <family val="2"/>
      </rPr>
      <t xml:space="preserve">点</t>
    </r>
    <r>
      <rPr>
        <sz val="10"/>
        <rFont val="Arial"/>
        <family val="0"/>
        <charset val="1"/>
      </rPr>
      <t xml:space="preserve">(</t>
    </r>
    <r>
      <rPr>
        <sz val="10"/>
        <rFont val="WenQuanYi Zen Hei"/>
        <family val="2"/>
      </rPr>
      <t xml:space="preserve">第</t>
    </r>
    <r>
      <rPr>
        <sz val="10"/>
        <rFont val="Arial"/>
        <family val="0"/>
        <charset val="1"/>
      </rPr>
      <t xml:space="preserve">1</t>
    </r>
    <r>
      <rPr>
        <sz val="10"/>
        <rFont val="WenQuanYi Zen Hei"/>
        <family val="2"/>
      </rPr>
      <t xml:space="preserve">对基线</t>
    </r>
    <r>
      <rPr>
        <sz val="10"/>
        <rFont val="Arial"/>
        <family val="0"/>
        <charset val="1"/>
      </rPr>
      <t xml:space="preserve">5</t>
    </r>
    <r>
      <rPr>
        <sz val="10"/>
        <rFont val="WenQuanYi Zen Hei"/>
        <family val="2"/>
      </rPr>
      <t xml:space="preserve">点但零变异，可计入</t>
    </r>
    <r>
      <rPr>
        <sz val="10"/>
        <rFont val="Arial"/>
        <family val="0"/>
        <charset val="1"/>
      </rPr>
      <t xml:space="preserve">)</t>
    </r>
  </si>
  <si>
    <r>
      <rPr>
        <sz val="10"/>
        <rFont val="Arial"/>
        <family val="0"/>
        <charset val="1"/>
      </rPr>
      <t xml:space="preserve">IOA 40–46%</t>
    </r>
    <r>
      <rPr>
        <sz val="10"/>
        <rFont val="WenQuanYi Zen Hei"/>
        <family val="2"/>
      </rPr>
      <t xml:space="preserve">，</t>
    </r>
    <r>
      <rPr>
        <sz val="10"/>
        <rFont val="Arial"/>
        <family val="0"/>
        <charset val="1"/>
      </rPr>
      <t xml:space="preserve">96%</t>
    </r>
  </si>
  <si>
    <r>
      <rPr>
        <sz val="10"/>
        <rFont val="Arial"/>
        <family val="0"/>
        <charset val="1"/>
      </rPr>
      <t xml:space="preserve">022-A </t>
    </r>
    <r>
      <rPr>
        <sz val="10"/>
        <rFont val="WenQuanYi Zen Hei"/>
        <family val="2"/>
      </rPr>
      <t xml:space="preserve">教师引导的同伴介入干预对孤独症学前儿童社交游戏的影响</t>
    </r>
  </si>
  <si>
    <r>
      <rPr>
        <sz val="10"/>
        <rFont val="WenQuanYi Zen Hei"/>
        <family val="2"/>
      </rPr>
      <t xml:space="preserve">同时多基线</t>
    </r>
    <r>
      <rPr>
        <sz val="10"/>
        <rFont val="Arial"/>
        <family val="0"/>
        <charset val="1"/>
      </rPr>
      <t xml:space="preserve">(4</t>
    </r>
    <r>
      <rPr>
        <sz val="10"/>
        <rFont val="WenQuanYi Zen Hei"/>
        <family val="2"/>
      </rPr>
      <t xml:space="preserve">对</t>
    </r>
    <r>
      <rPr>
        <sz val="10"/>
        <rFont val="Arial"/>
        <family val="0"/>
        <charset val="1"/>
      </rPr>
      <t xml:space="preserve">)</t>
    </r>
    <r>
      <rPr>
        <sz val="10"/>
        <rFont val="WenQuanYi Zen Hei"/>
        <family val="2"/>
      </rPr>
      <t xml:space="preserve">；基线→教师支持</t>
    </r>
    <r>
      <rPr>
        <sz val="10"/>
        <rFont val="Arial"/>
        <family val="0"/>
        <charset val="1"/>
      </rPr>
      <t xml:space="preserve">SPT→SPT</t>
    </r>
  </si>
  <si>
    <r>
      <rPr>
        <sz val="10"/>
        <rFont val="WenQuanYi Zen Hei"/>
        <family val="2"/>
      </rPr>
      <t xml:space="preserve">第</t>
    </r>
    <r>
      <rPr>
        <sz val="10"/>
        <rFont val="Arial"/>
        <family val="0"/>
        <charset val="1"/>
      </rPr>
      <t xml:space="preserve">1</t>
    </r>
    <r>
      <rPr>
        <sz val="10"/>
        <rFont val="WenQuanYi Zen Hei"/>
        <family val="2"/>
      </rPr>
      <t xml:space="preserve">对基线仅</t>
    </r>
    <r>
      <rPr>
        <sz val="10"/>
        <rFont val="Arial"/>
        <family val="0"/>
        <charset val="1"/>
      </rPr>
      <t xml:space="preserve">3</t>
    </r>
    <r>
      <rPr>
        <sz val="10"/>
        <rFont val="WenQuanYi Zen Hei"/>
        <family val="2"/>
      </rPr>
      <t xml:space="preserve">点；第</t>
    </r>
    <r>
      <rPr>
        <sz val="10"/>
        <rFont val="Arial"/>
        <family val="0"/>
        <charset val="1"/>
      </rPr>
      <t xml:space="preserve">3</t>
    </r>
    <r>
      <rPr>
        <sz val="10"/>
        <rFont val="WenQuanYi Zen Hei"/>
        <family val="2"/>
      </rPr>
      <t xml:space="preserve">对教师支持期仅</t>
    </r>
    <r>
      <rPr>
        <sz val="10"/>
        <rFont val="Arial"/>
        <family val="0"/>
        <charset val="1"/>
      </rPr>
      <t xml:space="preserve">3</t>
    </r>
    <r>
      <rPr>
        <sz val="10"/>
        <rFont val="WenQuanYi Zen Hei"/>
        <family val="2"/>
      </rPr>
      <t xml:space="preserve">点</t>
    </r>
  </si>
  <si>
    <r>
      <rPr>
        <sz val="10"/>
        <rFont val="WenQuanYi Zen Hei"/>
        <family val="2"/>
      </rPr>
      <t xml:space="preserve">第</t>
    </r>
    <r>
      <rPr>
        <sz val="10"/>
        <rFont val="Arial"/>
        <family val="0"/>
        <charset val="1"/>
      </rPr>
      <t xml:space="preserve">1</t>
    </r>
    <r>
      <rPr>
        <sz val="10"/>
        <rFont val="WenQuanYi Zen Hei"/>
        <family val="2"/>
      </rPr>
      <t xml:space="preserve">对基线</t>
    </r>
    <r>
      <rPr>
        <sz val="10"/>
        <rFont val="Arial"/>
        <family val="0"/>
        <charset val="1"/>
      </rPr>
      <t xml:space="preserve">3</t>
    </r>
    <r>
      <rPr>
        <sz val="10"/>
        <rFont val="WenQuanYi Zen Hei"/>
        <family val="2"/>
      </rPr>
      <t xml:space="preserve">点、第</t>
    </r>
    <r>
      <rPr>
        <sz val="10"/>
        <rFont val="Arial"/>
        <family val="0"/>
        <charset val="1"/>
      </rPr>
      <t xml:space="preserve">3</t>
    </r>
    <r>
      <rPr>
        <sz val="10"/>
        <rFont val="WenQuanYi Zen Hei"/>
        <family val="2"/>
      </rPr>
      <t xml:space="preserve">对干预</t>
    </r>
    <r>
      <rPr>
        <sz val="10"/>
        <rFont val="Arial"/>
        <family val="0"/>
        <charset val="1"/>
      </rPr>
      <t xml:space="preserve">3</t>
    </r>
    <r>
      <rPr>
        <sz val="10"/>
        <rFont val="WenQuanYi Zen Hei"/>
        <family val="2"/>
      </rPr>
      <t xml:space="preserve">点，去掉多余层后仍无法满足无保留</t>
    </r>
  </si>
  <si>
    <r>
      <rPr>
        <sz val="10"/>
        <rFont val="WenQuanYi Zen Hei"/>
        <family val="2"/>
      </rPr>
      <t xml:space="preserve">强</t>
    </r>
    <r>
      <rPr>
        <sz val="10"/>
        <rFont val="Arial"/>
        <family val="0"/>
        <charset val="1"/>
      </rPr>
      <t xml:space="preserve">(</t>
    </r>
    <r>
      <rPr>
        <sz val="10"/>
        <rFont val="WenQuanYi Zen Hei"/>
        <family val="2"/>
      </rPr>
      <t xml:space="preserve">初判，互动游戏</t>
    </r>
    <r>
      <rPr>
        <sz val="10"/>
        <rFont val="Arial"/>
        <family val="0"/>
        <charset val="1"/>
      </rPr>
      <t xml:space="preserve">)</t>
    </r>
  </si>
  <si>
    <r>
      <rPr>
        <sz val="10"/>
        <rFont val="Arial"/>
        <family val="0"/>
        <charset val="1"/>
      </rPr>
      <t xml:space="preserve">IOA</t>
    </r>
    <r>
      <rPr>
        <sz val="10"/>
        <rFont val="WenQuanYi Zen Hei"/>
        <family val="2"/>
      </rPr>
      <t xml:space="preserve">每种条件</t>
    </r>
    <r>
      <rPr>
        <sz val="10"/>
        <rFont val="Arial"/>
        <family val="0"/>
        <charset val="1"/>
      </rPr>
      <t xml:space="preserve">30%</t>
    </r>
    <r>
      <rPr>
        <sz val="10"/>
        <rFont val="WenQuanYi Zen Hei"/>
        <family val="2"/>
      </rPr>
      <t xml:space="preserve">，</t>
    </r>
    <r>
      <rPr>
        <sz val="10"/>
        <rFont val="Arial"/>
        <family val="0"/>
        <charset val="1"/>
      </rPr>
      <t xml:space="preserve">&gt;80%</t>
    </r>
  </si>
  <si>
    <r>
      <rPr>
        <sz val="10"/>
        <rFont val="Arial"/>
        <family val="0"/>
        <charset val="1"/>
      </rPr>
      <t xml:space="preserve">023-A </t>
    </r>
    <r>
      <rPr>
        <sz val="10"/>
        <rFont val="WenQuanYi Zen Hei"/>
        <family val="2"/>
      </rPr>
      <t xml:space="preserve">在台湾小学融合课堂中实施同伴介入干预向两名孤独症谱系学生和一名注意缺陷多动障碍学生教授行为期望</t>
    </r>
  </si>
  <si>
    <r>
      <rPr>
        <sz val="10"/>
        <rFont val="Arial"/>
        <family val="0"/>
        <charset val="1"/>
      </rPr>
      <t xml:space="preserve">James</t>
    </r>
    <r>
      <rPr>
        <sz val="10"/>
        <rFont val="WenQuanYi Zen Hei"/>
        <family val="2"/>
      </rPr>
      <t xml:space="preserve">干预前</t>
    </r>
    <r>
      <rPr>
        <sz val="10"/>
        <rFont val="Arial"/>
        <family val="0"/>
        <charset val="1"/>
      </rPr>
      <t xml:space="preserve">3</t>
    </r>
    <r>
      <rPr>
        <sz val="10"/>
        <rFont val="WenQuanYi Zen Hei"/>
        <family val="2"/>
      </rPr>
      <t xml:space="preserve">次会话内无探测点；</t>
    </r>
    <r>
      <rPr>
        <sz val="10"/>
        <rFont val="Arial"/>
        <family val="0"/>
        <charset val="1"/>
      </rPr>
      <t xml:space="preserve">William</t>
    </r>
    <r>
      <rPr>
        <sz val="10"/>
        <rFont val="WenQuanYi Zen Hei"/>
        <family val="2"/>
      </rPr>
      <t xml:space="preserve">进入干预时</t>
    </r>
    <r>
      <rPr>
        <sz val="10"/>
        <rFont val="Arial"/>
        <family val="0"/>
        <charset val="1"/>
      </rPr>
      <t xml:space="preserve">James</t>
    </r>
    <r>
      <rPr>
        <sz val="10"/>
        <rFont val="WenQuanYi Zen Hei"/>
        <family val="2"/>
      </rPr>
      <t xml:space="preserve">无探测点；</t>
    </r>
    <r>
      <rPr>
        <sz val="10"/>
        <rFont val="Arial"/>
        <family val="0"/>
        <charset val="1"/>
      </rPr>
      <t xml:space="preserve">James</t>
    </r>
    <r>
      <rPr>
        <sz val="10"/>
        <rFont val="WenQuanYi Zen Hei"/>
        <family val="2"/>
      </rPr>
      <t xml:space="preserve">基线</t>
    </r>
    <r>
      <rPr>
        <sz val="10"/>
        <rFont val="Arial"/>
        <family val="0"/>
        <charset val="1"/>
      </rPr>
      <t xml:space="preserve">3</t>
    </r>
    <r>
      <rPr>
        <sz val="10"/>
        <rFont val="WenQuanYi Zen Hei"/>
        <family val="2"/>
      </rPr>
      <t xml:space="preserve">点、干预</t>
    </r>
    <r>
      <rPr>
        <sz val="10"/>
        <rFont val="Arial"/>
        <family val="0"/>
        <charset val="1"/>
      </rPr>
      <t xml:space="preserve">4</t>
    </r>
    <r>
      <rPr>
        <sz val="10"/>
        <rFont val="WenQuanYi Zen Hei"/>
        <family val="2"/>
      </rPr>
      <t xml:space="preserve">点</t>
    </r>
  </si>
  <si>
    <r>
      <rPr>
        <sz val="10"/>
        <rFont val="WenQuanYi Zen Hei"/>
        <family val="2"/>
      </rPr>
      <t xml:space="preserve">首</t>
    </r>
    <r>
      <rPr>
        <sz val="10"/>
        <rFont val="Arial"/>
        <family val="0"/>
        <charset val="1"/>
      </rPr>
      <t xml:space="preserve">3</t>
    </r>
    <r>
      <rPr>
        <sz val="10"/>
        <rFont val="WenQuanYi Zen Hei"/>
        <family val="2"/>
      </rPr>
      <t xml:space="preserve">次会话内无三层垂直重叠的探测点；同上</t>
    </r>
  </si>
  <si>
    <r>
      <rPr>
        <sz val="10"/>
        <rFont val="Arial"/>
        <family val="0"/>
        <charset val="1"/>
      </rPr>
      <t xml:space="preserve">IOA</t>
    </r>
    <r>
      <rPr>
        <sz val="10"/>
        <rFont val="WenQuanYi Zen Hei"/>
        <family val="2"/>
      </rPr>
      <t xml:space="preserve">比例未报告</t>
    </r>
    <r>
      <rPr>
        <sz val="10"/>
        <rFont val="Arial"/>
        <family val="0"/>
        <charset val="1"/>
      </rPr>
      <t xml:space="preserve">(</t>
    </r>
    <r>
      <rPr>
        <sz val="10"/>
        <rFont val="WenQuanYi Zen Hei"/>
        <family val="2"/>
      </rPr>
      <t xml:space="preserve">仅称</t>
    </r>
    <r>
      <rPr>
        <sz val="10"/>
        <rFont val="Arial"/>
        <family val="0"/>
        <charset val="1"/>
      </rPr>
      <t xml:space="preserve">100%</t>
    </r>
    <r>
      <rPr>
        <sz val="10"/>
        <rFont val="WenQuanYi Zen Hei"/>
        <family val="2"/>
      </rPr>
      <t xml:space="preserve">一致</t>
    </r>
    <r>
      <rPr>
        <sz val="10"/>
        <rFont val="Arial"/>
        <family val="0"/>
        <charset val="1"/>
      </rPr>
      <t xml:space="preserve">)</t>
    </r>
  </si>
  <si>
    <r>
      <rPr>
        <sz val="10"/>
        <rFont val="Arial"/>
        <family val="0"/>
        <charset val="1"/>
      </rPr>
      <t xml:space="preserve">025-A </t>
    </r>
    <r>
      <rPr>
        <sz val="10"/>
        <rFont val="WenQuanYi Zen Hei"/>
        <family val="2"/>
      </rPr>
      <t xml:space="preserve">在与典型发展同伴开展的小组教学中教授孤独症儿童学业技能</t>
    </r>
  </si>
  <si>
    <r>
      <rPr>
        <sz val="10"/>
        <rFont val="Arial"/>
        <family val="0"/>
        <charset val="1"/>
      </rPr>
      <t xml:space="preserve">Murat</t>
    </r>
    <r>
      <rPr>
        <sz val="10"/>
        <rFont val="WenQuanYi Zen Hei"/>
        <family val="2"/>
      </rPr>
      <t xml:space="preserve">基线仅</t>
    </r>
    <r>
      <rPr>
        <sz val="10"/>
        <rFont val="Arial"/>
        <family val="0"/>
        <charset val="1"/>
      </rPr>
      <t xml:space="preserve">3</t>
    </r>
    <r>
      <rPr>
        <sz val="10"/>
        <rFont val="WenQuanYi Zen Hei"/>
        <family val="2"/>
      </rPr>
      <t xml:space="preserve">点</t>
    </r>
  </si>
  <si>
    <r>
      <rPr>
        <sz val="10"/>
        <rFont val="Arial"/>
        <family val="0"/>
        <charset val="1"/>
      </rPr>
      <t xml:space="preserve">Murat</t>
    </r>
    <r>
      <rPr>
        <sz val="10"/>
        <rFont val="WenQuanYi Zen Hei"/>
        <family val="2"/>
      </rPr>
      <t xml:space="preserve">基线</t>
    </r>
    <r>
      <rPr>
        <sz val="10"/>
        <rFont val="Arial"/>
        <family val="0"/>
        <charset val="1"/>
      </rPr>
      <t xml:space="preserve">3</t>
    </r>
    <r>
      <rPr>
        <sz val="10"/>
        <rFont val="WenQuanYi Zen Hei"/>
        <family val="2"/>
      </rPr>
      <t xml:space="preserve">点</t>
    </r>
    <r>
      <rPr>
        <sz val="10"/>
        <rFont val="Arial"/>
        <family val="0"/>
        <charset val="1"/>
      </rPr>
      <t xml:space="preserve">(&lt;6)</t>
    </r>
  </si>
  <si>
    <r>
      <rPr>
        <sz val="10"/>
        <rFont val="Arial"/>
        <family val="0"/>
        <charset val="1"/>
      </rPr>
      <t xml:space="preserve">IOA≥30%</t>
    </r>
    <r>
      <rPr>
        <sz val="10"/>
        <rFont val="WenQuanYi Zen Hei"/>
        <family val="2"/>
      </rPr>
      <t xml:space="preserve">会话，</t>
    </r>
    <r>
      <rPr>
        <sz val="10"/>
        <rFont val="Arial"/>
        <family val="0"/>
        <charset val="1"/>
      </rPr>
      <t xml:space="preserve">100%</t>
    </r>
  </si>
  <si>
    <r>
      <rPr>
        <sz val="10"/>
        <rFont val="Arial"/>
        <family val="0"/>
        <charset val="1"/>
      </rPr>
      <t xml:space="preserve">026-A </t>
    </r>
    <r>
      <rPr>
        <sz val="10"/>
        <rFont val="WenQuanYi Zen Hei"/>
        <family val="2"/>
      </rPr>
      <t xml:space="preserve">运用三级视频示范模型向一名孤独症幼儿教授身体活动：一项试点研究</t>
    </r>
  </si>
  <si>
    <r>
      <rPr>
        <sz val="10"/>
        <rFont val="WenQuanYi Zen Hei"/>
        <family val="2"/>
      </rPr>
      <t xml:space="preserve">变换条件设计</t>
    </r>
    <r>
      <rPr>
        <sz val="10"/>
        <rFont val="Arial"/>
        <family val="0"/>
        <charset val="1"/>
      </rPr>
      <t xml:space="preserve">A-B-C-D(1</t>
    </r>
    <r>
      <rPr>
        <sz val="10"/>
        <rFont val="WenQuanYi Zen Hei"/>
        <family val="2"/>
      </rPr>
      <t xml:space="preserve">人；三级视频示范</t>
    </r>
    <r>
      <rPr>
        <sz val="10"/>
        <rFont val="Arial"/>
        <family val="0"/>
        <charset val="1"/>
      </rPr>
      <t xml:space="preserve">)</t>
    </r>
  </si>
  <si>
    <r>
      <rPr>
        <sz val="10"/>
        <rFont val="WenQuanYi Zen Hei"/>
        <family val="2"/>
      </rPr>
      <t xml:space="preserve">不属于撤回</t>
    </r>
    <r>
      <rPr>
        <sz val="10"/>
        <rFont val="Arial"/>
        <family val="0"/>
        <charset val="1"/>
      </rPr>
      <t xml:space="preserve">/</t>
    </r>
    <r>
      <rPr>
        <sz val="10"/>
        <rFont val="WenQuanYi Zen Hei"/>
        <family val="2"/>
      </rPr>
      <t xml:space="preserve">多基线</t>
    </r>
    <r>
      <rPr>
        <sz val="10"/>
        <rFont val="Arial"/>
        <family val="0"/>
        <charset val="1"/>
      </rPr>
      <t xml:space="preserve">/</t>
    </r>
    <r>
      <rPr>
        <sz val="10"/>
        <rFont val="WenQuanYi Zen Hei"/>
        <family val="2"/>
      </rPr>
      <t xml:space="preserve">交替处理；各阶段为不同干预，无同一干预的</t>
    </r>
    <r>
      <rPr>
        <sz val="10"/>
        <rFont val="Arial"/>
        <family val="0"/>
        <charset val="1"/>
      </rPr>
      <t xml:space="preserve">3</t>
    </r>
    <r>
      <rPr>
        <sz val="10"/>
        <rFont val="WenQuanYi Zen Hei"/>
        <family val="2"/>
      </rPr>
      <t xml:space="preserve">次效果展示</t>
    </r>
  </si>
  <si>
    <r>
      <rPr>
        <sz val="10"/>
        <rFont val="WenQuanYi Zen Hei"/>
        <family val="2"/>
      </rPr>
      <t xml:space="preserve">按</t>
    </r>
    <r>
      <rPr>
        <sz val="10"/>
        <rFont val="Arial"/>
        <family val="0"/>
        <charset val="1"/>
      </rPr>
      <t xml:space="preserve">"</t>
    </r>
    <r>
      <rPr>
        <sz val="10"/>
        <rFont val="WenQuanYi Zen Hei"/>
        <family val="2"/>
      </rPr>
      <t xml:space="preserve">其他设计</t>
    </r>
    <r>
      <rPr>
        <sz val="10"/>
        <rFont val="Arial"/>
        <family val="0"/>
        <charset val="1"/>
      </rPr>
      <t xml:space="preserve">"</t>
    </r>
    <r>
      <rPr>
        <sz val="10"/>
        <rFont val="WenQuanYi Zen Hei"/>
        <family val="2"/>
      </rPr>
      <t xml:space="preserve">条款也不满足：无</t>
    </r>
    <r>
      <rPr>
        <sz val="10"/>
        <rFont val="Arial"/>
        <family val="0"/>
        <charset val="1"/>
      </rPr>
      <t xml:space="preserve">3</t>
    </r>
    <r>
      <rPr>
        <sz val="10"/>
        <rFont val="WenQuanYi Zen Hei"/>
        <family val="2"/>
      </rPr>
      <t xml:space="preserve">个时间点上对同一干预的效果展示</t>
    </r>
  </si>
  <si>
    <r>
      <rPr>
        <sz val="10"/>
        <rFont val="Arial"/>
        <family val="0"/>
        <charset val="1"/>
      </rPr>
      <t xml:space="preserve">IOA 50%</t>
    </r>
    <r>
      <rPr>
        <sz val="10"/>
        <rFont val="WenQuanYi Zen Hei"/>
        <family val="2"/>
      </rPr>
      <t xml:space="preserve">，</t>
    </r>
    <r>
      <rPr>
        <sz val="10"/>
        <rFont val="Arial"/>
        <family val="0"/>
        <charset val="1"/>
      </rPr>
      <t xml:space="preserve">94.6%</t>
    </r>
  </si>
  <si>
    <r>
      <rPr>
        <b val="true"/>
        <sz val="10"/>
        <rFont val="Arial"/>
        <family val="0"/>
        <charset val="1"/>
      </rPr>
      <t xml:space="preserve">027-A </t>
    </r>
    <r>
      <rPr>
        <b val="true"/>
        <sz val="10"/>
        <rFont val="WenQuanYi Zen Hei"/>
        <family val="2"/>
      </rPr>
      <t xml:space="preserve">在融合情境中运用合作性身体活动促进中国孤独症谱系障碍学前儿童的社会互动</t>
    </r>
  </si>
  <si>
    <r>
      <rPr>
        <sz val="10"/>
        <rFont val="Arial"/>
        <family val="0"/>
        <charset val="1"/>
      </rPr>
      <t xml:space="preserve">Jun</t>
    </r>
    <r>
      <rPr>
        <sz val="10"/>
        <rFont val="WenQuanYi Zen Hei"/>
        <family val="2"/>
      </rPr>
      <t xml:space="preserve">基线仅</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</si>
  <si>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Bo</t>
    </r>
    <r>
      <rPr>
        <sz val="10"/>
        <rFont val="WenQuanYi Zen Hei"/>
        <family val="2"/>
      </rPr>
      <t xml:space="preserve">干预期与基线重叠多</t>
    </r>
    <r>
      <rPr>
        <sz val="10"/>
        <rFont val="Arial"/>
        <family val="0"/>
        <charset val="1"/>
      </rPr>
      <t xml:space="preserve">)</t>
    </r>
  </si>
  <si>
    <r>
      <rPr>
        <sz val="10"/>
        <rFont val="Arial"/>
        <family val="0"/>
        <charset val="1"/>
      </rPr>
      <t xml:space="preserve">IOA</t>
    </r>
    <r>
      <rPr>
        <sz val="10"/>
        <rFont val="WenQuanYi Zen Hei"/>
        <family val="2"/>
      </rPr>
      <t xml:space="preserve">每人每条件</t>
    </r>
    <r>
      <rPr>
        <sz val="10"/>
        <rFont val="Arial"/>
        <family val="0"/>
        <charset val="1"/>
      </rPr>
      <t xml:space="preserve">30%</t>
    </r>
    <r>
      <rPr>
        <sz val="10"/>
        <rFont val="WenQuanYi Zen Hei"/>
        <family val="2"/>
      </rPr>
      <t xml:space="preserve">，</t>
    </r>
    <r>
      <rPr>
        <sz val="10"/>
        <rFont val="Arial"/>
        <family val="0"/>
        <charset val="1"/>
      </rPr>
      <t xml:space="preserve">96–100%</t>
    </r>
  </si>
  <si>
    <r>
      <rPr>
        <sz val="10"/>
        <rFont val="Arial"/>
        <family val="0"/>
        <charset val="1"/>
      </rPr>
      <t xml:space="preserve">028-A </t>
    </r>
    <r>
      <rPr>
        <sz val="10"/>
        <rFont val="WenQuanYi Zen Hei"/>
        <family val="2"/>
      </rPr>
      <t xml:space="preserve">在学校课间运用自我管理教授孤独症谱系障碍学前儿童社会互动技能</t>
    </r>
  </si>
  <si>
    <r>
      <rPr>
        <sz val="10"/>
        <rFont val="WenQuanYi Zen Hei"/>
        <family val="2"/>
      </rPr>
      <t xml:space="preserve">多基线</t>
    </r>
    <r>
      <rPr>
        <sz val="10"/>
        <rFont val="Arial"/>
        <family val="0"/>
        <charset val="1"/>
      </rPr>
      <t xml:space="preserve">(3</t>
    </r>
    <r>
      <rPr>
        <sz val="10"/>
        <rFont val="WenQuanYi Zen Hei"/>
        <family val="2"/>
      </rPr>
      <t xml:space="preserve">人</t>
    </r>
    <r>
      <rPr>
        <sz val="10"/>
        <rFont val="Arial"/>
        <family val="0"/>
        <charset val="1"/>
      </rPr>
      <t xml:space="preserve">)</t>
    </r>
    <r>
      <rPr>
        <sz val="10"/>
        <rFont val="WenQuanYi Zen Hei"/>
        <family val="2"/>
      </rPr>
      <t xml:space="preserve">；基线→提示</t>
    </r>
    <r>
      <rPr>
        <sz val="10"/>
        <rFont val="Arial"/>
        <family val="0"/>
        <charset val="1"/>
      </rPr>
      <t xml:space="preserve">+</t>
    </r>
    <r>
      <rPr>
        <sz val="10"/>
        <rFont val="WenQuanYi Zen Hei"/>
        <family val="2"/>
      </rPr>
      <t xml:space="preserve">强化→自我管理</t>
    </r>
  </si>
  <si>
    <r>
      <rPr>
        <sz val="10"/>
        <rFont val="Arial"/>
        <family val="0"/>
        <charset val="1"/>
      </rPr>
      <t xml:space="preserve">Keith</t>
    </r>
    <r>
      <rPr>
        <sz val="10"/>
        <rFont val="WenQuanYi Zen Hei"/>
        <family val="2"/>
      </rPr>
      <t xml:space="preserve">基线仅</t>
    </r>
    <r>
      <rPr>
        <sz val="10"/>
        <rFont val="Arial"/>
        <family val="0"/>
        <charset val="1"/>
      </rPr>
      <t xml:space="preserve">4</t>
    </r>
    <r>
      <rPr>
        <sz val="10"/>
        <rFont val="WenQuanYi Zen Hei"/>
        <family val="2"/>
      </rPr>
      <t xml:space="preserve">点</t>
    </r>
  </si>
  <si>
    <r>
      <rPr>
        <sz val="10"/>
        <rFont val="Arial"/>
        <family val="0"/>
        <charset val="1"/>
      </rPr>
      <t xml:space="preserve">Keith</t>
    </r>
    <r>
      <rPr>
        <sz val="10"/>
        <rFont val="WenQuanYi Zen Hei"/>
        <family val="2"/>
      </rPr>
      <t xml:space="preserve">基线</t>
    </r>
    <r>
      <rPr>
        <sz val="10"/>
        <rFont val="Arial"/>
        <family val="0"/>
        <charset val="1"/>
      </rPr>
      <t xml:space="preserve">&lt;6</t>
    </r>
    <r>
      <rPr>
        <sz val="10"/>
        <rFont val="WenQuanYi Zen Hei"/>
        <family val="2"/>
      </rPr>
      <t xml:space="preserve">点</t>
    </r>
  </si>
  <si>
    <r>
      <rPr>
        <sz val="10"/>
        <rFont val="Arial"/>
        <family val="0"/>
        <charset val="1"/>
      </rPr>
      <t xml:space="preserve">IOA≥33%</t>
    </r>
    <r>
      <rPr>
        <sz val="10"/>
        <rFont val="WenQuanYi Zen Hei"/>
        <family val="2"/>
      </rPr>
      <t xml:space="preserve">，平均</t>
    </r>
    <r>
      <rPr>
        <sz val="10"/>
        <rFont val="Arial"/>
        <family val="0"/>
        <charset val="1"/>
      </rPr>
      <t xml:space="preserve">95%</t>
    </r>
  </si>
  <si>
    <r>
      <rPr>
        <b val="true"/>
        <sz val="10"/>
        <rFont val="Arial"/>
        <family val="0"/>
        <charset val="1"/>
      </rPr>
      <t xml:space="preserve">029-A </t>
    </r>
    <r>
      <rPr>
        <b val="true"/>
        <sz val="10"/>
        <rFont val="WenQuanYi Zen Hei"/>
        <family val="2"/>
      </rPr>
      <t xml:space="preserve">良好行为游戏：对融合情境中有和无特殊教育需要学生扰乱行为的影响</t>
    </r>
  </si>
  <si>
    <r>
      <rPr>
        <sz val="10"/>
        <rFont val="Arial"/>
        <family val="0"/>
        <charset val="1"/>
      </rPr>
      <t xml:space="preserve">A-B-A-B</t>
    </r>
    <r>
      <rPr>
        <sz val="10"/>
        <rFont val="WenQuanYi Zen Hei"/>
        <family val="2"/>
      </rPr>
      <t xml:space="preserve">撤回设计</t>
    </r>
    <r>
      <rPr>
        <sz val="10"/>
        <rFont val="Arial"/>
        <family val="0"/>
        <charset val="1"/>
      </rPr>
      <t xml:space="preserve">(</t>
    </r>
    <r>
      <rPr>
        <sz val="10"/>
        <rFont val="WenQuanYi Zen Hei"/>
        <family val="2"/>
      </rPr>
      <t xml:space="preserve">每名学生一个</t>
    </r>
    <r>
      <rPr>
        <sz val="10"/>
        <rFont val="Arial"/>
        <family val="0"/>
        <charset val="1"/>
      </rPr>
      <t xml:space="preserve">)</t>
    </r>
  </si>
  <si>
    <r>
      <rPr>
        <sz val="10"/>
        <rFont val="Arial"/>
        <family val="0"/>
        <charset val="1"/>
      </rPr>
      <t xml:space="preserve">Ali</t>
    </r>
    <r>
      <rPr>
        <sz val="10"/>
        <rFont val="WenQuanYi Zen Hei"/>
        <family val="2"/>
      </rPr>
      <t xml:space="preserve">首个基线仅</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</si>
  <si>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WenQuanYi Zen Hei"/>
        <family val="2"/>
      </rPr>
      <t xml:space="preserve">强</t>
    </r>
    <r>
      <rPr>
        <sz val="10"/>
        <rFont val="Arial"/>
        <family val="0"/>
        <charset val="1"/>
      </rPr>
      <t xml:space="preserve">(</t>
    </r>
    <r>
      <rPr>
        <sz val="10"/>
        <rFont val="WenQuanYi Zen Hei"/>
        <family val="2"/>
      </rPr>
      <t xml:space="preserve">初判，</t>
    </r>
    <r>
      <rPr>
        <sz val="10"/>
        <rFont val="Arial"/>
        <family val="0"/>
        <charset val="1"/>
      </rPr>
      <t xml:space="preserve">Ali)</t>
    </r>
  </si>
  <si>
    <r>
      <rPr>
        <sz val="10"/>
        <rFont val="WenQuanYi Zen Hei"/>
        <family val="2"/>
      </rPr>
      <t xml:space="preserve">仅</t>
    </r>
    <r>
      <rPr>
        <sz val="10"/>
        <rFont val="Arial"/>
        <family val="0"/>
        <charset val="1"/>
      </rPr>
      <t xml:space="preserve">Ali</t>
    </r>
    <r>
      <rPr>
        <sz val="10"/>
        <rFont val="WenQuanYi Zen Hei"/>
        <family val="2"/>
      </rPr>
      <t xml:space="preserve">为</t>
    </r>
    <r>
      <rPr>
        <sz val="10"/>
        <rFont val="Arial"/>
        <family val="0"/>
        <charset val="1"/>
      </rPr>
      <t xml:space="preserve">ASD</t>
    </r>
    <r>
      <rPr>
        <sz val="10"/>
        <rFont val="WenQuanYi Zen Hei"/>
        <family val="2"/>
      </rPr>
      <t xml:space="preserve">，其余为特殊需要</t>
    </r>
    <r>
      <rPr>
        <sz val="10"/>
        <rFont val="Arial"/>
        <family val="0"/>
        <charset val="1"/>
      </rPr>
      <t xml:space="preserve">/</t>
    </r>
    <r>
      <rPr>
        <sz val="10"/>
        <rFont val="WenQuanYi Zen Hei"/>
        <family val="2"/>
      </rPr>
      <t xml:space="preserve">典型同伴；</t>
    </r>
    <r>
      <rPr>
        <sz val="10"/>
        <rFont val="Arial"/>
        <family val="0"/>
        <charset val="1"/>
      </rPr>
      <t xml:space="preserve">IOA</t>
    </r>
    <r>
      <rPr>
        <sz val="10"/>
        <rFont val="WenQuanYi Zen Hei"/>
        <family val="2"/>
      </rPr>
      <t xml:space="preserve">每阶段≥</t>
    </r>
    <r>
      <rPr>
        <sz val="10"/>
        <rFont val="Arial"/>
        <family val="0"/>
        <charset val="1"/>
      </rPr>
      <t xml:space="preserve">20%</t>
    </r>
    <r>
      <rPr>
        <sz val="10"/>
        <rFont val="WenQuanYi Zen Hei"/>
        <family val="2"/>
      </rPr>
      <t xml:space="preserve">，</t>
    </r>
    <r>
      <rPr>
        <sz val="10"/>
        <rFont val="Arial"/>
        <family val="0"/>
        <charset val="1"/>
      </rPr>
      <t xml:space="preserve">91–97%</t>
    </r>
  </si>
  <si>
    <r>
      <rPr>
        <sz val="10"/>
        <rFont val="Arial"/>
        <family val="0"/>
        <charset val="1"/>
      </rPr>
      <t xml:space="preserve">030-A </t>
    </r>
    <r>
      <rPr>
        <sz val="10"/>
        <rFont val="WenQuanYi Zen Hei"/>
        <family val="2"/>
      </rPr>
      <t xml:space="preserve">人工智能支持的自我指导作为融合学前情境中嵌入式教学专业发展模式的影响研究</t>
    </r>
  </si>
  <si>
    <r>
      <rPr>
        <sz val="10"/>
        <rFont val="WenQuanYi Zen Hei"/>
        <family val="2"/>
      </rPr>
      <t xml:space="preserve">多探测</t>
    </r>
    <r>
      <rPr>
        <sz val="10"/>
        <rFont val="Arial"/>
        <family val="0"/>
        <charset val="1"/>
      </rPr>
      <t xml:space="preserve">(4</t>
    </r>
    <r>
      <rPr>
        <sz val="10"/>
        <rFont val="WenQuanYi Zen Hei"/>
        <family val="2"/>
      </rPr>
      <t xml:space="preserve">对</t>
    </r>
    <r>
      <rPr>
        <sz val="10"/>
        <rFont val="Arial"/>
        <family val="0"/>
        <charset val="1"/>
      </rPr>
      <t xml:space="preserve">)</t>
    </r>
    <r>
      <rPr>
        <sz val="10"/>
        <rFont val="WenQuanYi Zen Hei"/>
        <family val="2"/>
      </rPr>
      <t xml:space="preserve">；基线→培训后→</t>
    </r>
    <r>
      <rPr>
        <sz val="10"/>
        <rFont val="Arial"/>
        <family val="0"/>
        <charset val="1"/>
      </rPr>
      <t xml:space="preserve">AI</t>
    </r>
    <r>
      <rPr>
        <sz val="10"/>
        <rFont val="WenQuanYi Zen Hei"/>
        <family val="2"/>
      </rPr>
      <t xml:space="preserve">自我指导</t>
    </r>
  </si>
  <si>
    <r>
      <rPr>
        <sz val="10"/>
        <rFont val="WenQuanYi Zen Hei"/>
        <family val="2"/>
      </rPr>
      <t xml:space="preserve">无保留</t>
    </r>
    <r>
      <rPr>
        <sz val="10"/>
        <rFont val="Arial"/>
        <family val="0"/>
        <charset val="1"/>
      </rPr>
      <t xml:space="preserve">(</t>
    </r>
    <r>
      <rPr>
        <sz val="10"/>
        <rFont val="WenQuanYi Zen Hei"/>
        <family val="2"/>
      </rPr>
      <t xml:space="preserve">仅</t>
    </r>
    <r>
      <rPr>
        <sz val="10"/>
        <rFont val="Arial"/>
        <family val="0"/>
        <charset val="1"/>
      </rPr>
      <t xml:space="preserve">"AI</t>
    </r>
    <r>
      <rPr>
        <sz val="10"/>
        <rFont val="WenQuanYi Zen Hei"/>
        <family val="2"/>
      </rPr>
      <t xml:space="preserve">自我指导 </t>
    </r>
    <r>
      <rPr>
        <sz val="10"/>
        <rFont val="Arial"/>
        <family val="0"/>
        <charset val="1"/>
      </rPr>
      <t xml:space="preserve">vs </t>
    </r>
    <r>
      <rPr>
        <sz val="10"/>
        <rFont val="WenQuanYi Zen Hei"/>
        <family val="2"/>
      </rPr>
      <t xml:space="preserve">培训后</t>
    </r>
    <r>
      <rPr>
        <sz val="10"/>
        <rFont val="Arial"/>
        <family val="0"/>
        <charset val="1"/>
      </rPr>
      <t xml:space="preserve">"</t>
    </r>
    <r>
      <rPr>
        <sz val="10"/>
        <rFont val="WenQuanYi Zen Hei"/>
        <family val="2"/>
      </rPr>
      <t xml:space="preserve">对比</t>
    </r>
    <r>
      <rPr>
        <sz val="10"/>
        <rFont val="Arial"/>
        <family val="0"/>
        <charset val="1"/>
      </rPr>
      <t xml:space="preserve">)</t>
    </r>
  </si>
  <si>
    <r>
      <rPr>
        <sz val="10"/>
        <rFont val="WenQuanYi Zen Hei"/>
        <family val="2"/>
      </rPr>
      <t xml:space="preserve">基线→培训为四层同时引入，培训本身无法评；以培训后阶段为对照评</t>
    </r>
    <r>
      <rPr>
        <sz val="10"/>
        <rFont val="Arial"/>
        <family val="0"/>
        <charset val="1"/>
      </rPr>
      <t xml:space="preserve">AI</t>
    </r>
    <r>
      <rPr>
        <sz val="10"/>
        <rFont val="WenQuanYi Zen Hei"/>
        <family val="2"/>
      </rPr>
      <t xml:space="preserve">自我指导</t>
    </r>
  </si>
  <si>
    <r>
      <rPr>
        <sz val="10"/>
        <rFont val="WenQuanYi Zen Hei"/>
        <family val="2"/>
      </rPr>
      <t xml:space="preserve">无保留</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</si>
  <si>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WenQuanYi Zen Hei"/>
        <family val="2"/>
      </rPr>
      <t xml:space="preserve">同左；培训后阶段≥</t>
    </r>
    <r>
      <rPr>
        <sz val="10"/>
        <rFont val="Arial"/>
        <family val="0"/>
        <charset val="1"/>
      </rPr>
      <t xml:space="preserve">6</t>
    </r>
    <r>
      <rPr>
        <sz val="10"/>
        <rFont val="WenQuanYi Zen Hei"/>
        <family val="2"/>
      </rPr>
      <t xml:space="preserve">点，无治疗方向趋势</t>
    </r>
  </si>
  <si>
    <r>
      <rPr>
        <sz val="10"/>
        <rFont val="WenQuanYi Zen Hei"/>
        <family val="2"/>
      </rPr>
      <t xml:space="preserve">强</t>
    </r>
    <r>
      <rPr>
        <sz val="10"/>
        <rFont val="Arial"/>
        <family val="0"/>
        <charset val="1"/>
      </rPr>
      <t xml:space="preserve">(</t>
    </r>
    <r>
      <rPr>
        <sz val="10"/>
        <rFont val="WenQuanYi Zen Hei"/>
        <family val="2"/>
      </rPr>
      <t xml:space="preserve">初判，儿童正确反应</t>
    </r>
    <r>
      <rPr>
        <sz val="10"/>
        <rFont val="Arial"/>
        <family val="0"/>
        <charset val="1"/>
      </rPr>
      <t xml:space="preserve">)</t>
    </r>
  </si>
  <si>
    <r>
      <rPr>
        <sz val="10"/>
        <rFont val="Arial"/>
        <family val="0"/>
        <charset val="1"/>
      </rPr>
      <t xml:space="preserve">IOA≥30%</t>
    </r>
    <r>
      <rPr>
        <sz val="10"/>
        <rFont val="WenQuanYi Zen Hei"/>
        <family val="2"/>
      </rPr>
      <t xml:space="preserve">各阶段，</t>
    </r>
    <r>
      <rPr>
        <sz val="10"/>
        <rFont val="Arial"/>
        <family val="0"/>
        <charset val="1"/>
      </rPr>
      <t xml:space="preserve">91–97%</t>
    </r>
  </si>
  <si>
    <r>
      <rPr>
        <sz val="10"/>
        <rFont val="Arial"/>
        <family val="0"/>
        <charset val="1"/>
      </rPr>
      <t xml:space="preserve">031-A </t>
    </r>
    <r>
      <rPr>
        <sz val="10"/>
        <rFont val="WenQuanYi Zen Hei"/>
        <family val="2"/>
      </rPr>
      <t xml:space="preserve">运用综合分析及据此制定的干预促进重新融入学校</t>
    </r>
  </si>
  <si>
    <r>
      <rPr>
        <sz val="10"/>
        <rFont val="WenQuanYi Zen Hei"/>
        <family val="2"/>
      </rPr>
      <t xml:space="preserve">多基线跨</t>
    </r>
    <r>
      <rPr>
        <sz val="10"/>
        <rFont val="Arial"/>
        <family val="0"/>
        <charset val="1"/>
      </rPr>
      <t xml:space="preserve">3</t>
    </r>
    <r>
      <rPr>
        <sz val="10"/>
        <rFont val="WenQuanYi Zen Hei"/>
        <family val="2"/>
      </rPr>
      <t xml:space="preserve">种任务情境</t>
    </r>
    <r>
      <rPr>
        <sz val="10"/>
        <rFont val="Arial"/>
        <family val="0"/>
        <charset val="1"/>
      </rPr>
      <t xml:space="preserve">(1</t>
    </r>
    <r>
      <rPr>
        <sz val="10"/>
        <rFont val="WenQuanYi Zen Hei"/>
        <family val="2"/>
      </rPr>
      <t xml:space="preserve">人</t>
    </r>
    <r>
      <rPr>
        <sz val="10"/>
        <rFont val="Arial"/>
        <family val="0"/>
        <charset val="1"/>
      </rPr>
      <t xml:space="preserve">)</t>
    </r>
  </si>
  <si>
    <r>
      <rPr>
        <sz val="10"/>
        <rFont val="WenQuanYi Zen Hei"/>
        <family val="2"/>
      </rPr>
      <t xml:space="preserve">偏好任务层基线仅</t>
    </r>
    <r>
      <rPr>
        <sz val="10"/>
        <rFont val="Arial"/>
        <family val="0"/>
        <charset val="1"/>
      </rPr>
      <t xml:space="preserve">2</t>
    </r>
    <r>
      <rPr>
        <sz val="10"/>
        <rFont val="WenQuanYi Zen Hei"/>
        <family val="2"/>
      </rPr>
      <t xml:space="preserve">点</t>
    </r>
    <r>
      <rPr>
        <sz val="10"/>
        <rFont val="Arial"/>
        <family val="0"/>
        <charset val="1"/>
      </rPr>
      <t xml:space="preserve">(≤2</t>
    </r>
    <r>
      <rPr>
        <sz val="10"/>
        <rFont val="WenQuanYi Zen Hei"/>
        <family val="2"/>
      </rPr>
      <t xml:space="preserve">点不能用于效果展示</t>
    </r>
    <r>
      <rPr>
        <sz val="10"/>
        <rFont val="Arial"/>
        <family val="0"/>
        <charset val="1"/>
      </rPr>
      <t xml:space="preserve">)</t>
    </r>
  </si>
  <si>
    <r>
      <rPr>
        <sz val="10"/>
        <rFont val="WenQuanYi Zen Hei"/>
        <family val="2"/>
      </rPr>
      <t xml:space="preserve">同左；治疗延伸期</t>
    </r>
    <r>
      <rPr>
        <sz val="10"/>
        <rFont val="Arial"/>
        <family val="0"/>
        <charset val="1"/>
      </rPr>
      <t xml:space="preserve">IOA</t>
    </r>
    <r>
      <rPr>
        <sz val="10"/>
        <rFont val="WenQuanYi Zen Hei"/>
        <family val="2"/>
      </rPr>
      <t xml:space="preserve">仅</t>
    </r>
    <r>
      <rPr>
        <sz val="10"/>
        <rFont val="Arial"/>
        <family val="0"/>
        <charset val="1"/>
      </rPr>
      <t xml:space="preserve">6%(&lt;20%)</t>
    </r>
  </si>
  <si>
    <r>
      <rPr>
        <sz val="10"/>
        <rFont val="Arial"/>
        <family val="0"/>
        <charset val="1"/>
      </rPr>
      <t xml:space="preserve">IOA</t>
    </r>
    <r>
      <rPr>
        <sz val="10"/>
        <rFont val="WenQuanYi Zen Hei"/>
        <family val="2"/>
      </rPr>
      <t xml:space="preserve">功能分析</t>
    </r>
    <r>
      <rPr>
        <sz val="10"/>
        <rFont val="Arial"/>
        <family val="0"/>
        <charset val="1"/>
      </rPr>
      <t xml:space="preserve">67%</t>
    </r>
    <r>
      <rPr>
        <sz val="10"/>
        <rFont val="WenQuanYi Zen Hei"/>
        <family val="2"/>
      </rPr>
      <t xml:space="preserve">、强化治疗</t>
    </r>
    <r>
      <rPr>
        <sz val="10"/>
        <rFont val="Arial"/>
        <family val="0"/>
        <charset val="1"/>
      </rPr>
      <t xml:space="preserve">31%</t>
    </r>
  </si>
  <si>
    <r>
      <rPr>
        <b val="true"/>
        <sz val="10"/>
        <rFont val="Arial"/>
        <family val="0"/>
        <charset val="1"/>
      </rPr>
      <t xml:space="preserve">032-A </t>
    </r>
    <r>
      <rPr>
        <b val="true"/>
        <sz val="10"/>
        <rFont val="WenQuanYi Zen Hei"/>
        <family val="2"/>
      </rPr>
      <t xml:space="preserve">面向发展障碍学生核心学业内容教学的普通教育教师培训</t>
    </r>
  </si>
  <si>
    <r>
      <rPr>
        <sz val="10"/>
        <rFont val="WenQuanYi Zen Hei"/>
        <family val="2"/>
      </rPr>
      <t xml:space="preserve">多探测：教师</t>
    </r>
    <r>
      <rPr>
        <sz val="10"/>
        <rFont val="Arial"/>
        <family val="0"/>
        <charset val="1"/>
      </rPr>
      <t xml:space="preserve">3</t>
    </r>
    <r>
      <rPr>
        <sz val="10"/>
        <rFont val="WenQuanYi Zen Hei"/>
        <family val="2"/>
      </rPr>
      <t xml:space="preserve">人</t>
    </r>
    <r>
      <rPr>
        <sz val="10"/>
        <rFont val="Arial"/>
        <family val="0"/>
        <charset val="1"/>
      </rPr>
      <t xml:space="preserve">(</t>
    </r>
    <r>
      <rPr>
        <sz val="10"/>
        <rFont val="WenQuanYi Zen Hei"/>
        <family val="2"/>
      </rPr>
      <t xml:space="preserve">设计</t>
    </r>
    <r>
      <rPr>
        <sz val="10"/>
        <rFont val="Arial"/>
        <family val="0"/>
        <charset val="1"/>
      </rPr>
      <t xml:space="preserve">1)+</t>
    </r>
    <r>
      <rPr>
        <sz val="10"/>
        <rFont val="WenQuanYi Zen Hei"/>
        <family val="2"/>
      </rPr>
      <t xml:space="preserve">学生</t>
    </r>
    <r>
      <rPr>
        <sz val="10"/>
        <rFont val="Arial"/>
        <family val="0"/>
        <charset val="1"/>
      </rPr>
      <t xml:space="preserve">3</t>
    </r>
    <r>
      <rPr>
        <sz val="10"/>
        <rFont val="WenQuanYi Zen Hei"/>
        <family val="2"/>
      </rPr>
      <t xml:space="preserve">人</t>
    </r>
    <r>
      <rPr>
        <sz val="10"/>
        <rFont val="Arial"/>
        <family val="0"/>
        <charset val="1"/>
      </rPr>
      <t xml:space="preserve">(</t>
    </r>
    <r>
      <rPr>
        <sz val="10"/>
        <rFont val="WenQuanYi Zen Hei"/>
        <family val="2"/>
      </rPr>
      <t xml:space="preserve">设计</t>
    </r>
    <r>
      <rPr>
        <sz val="10"/>
        <rFont val="Arial"/>
        <family val="0"/>
        <charset val="1"/>
      </rPr>
      <t xml:space="preserve">2)</t>
    </r>
  </si>
  <si>
    <r>
      <rPr>
        <sz val="10"/>
        <rFont val="WenQuanYi Zen Hei"/>
        <family val="2"/>
      </rPr>
      <t xml:space="preserve">无保留</t>
    </r>
    <r>
      <rPr>
        <sz val="10"/>
        <rFont val="Arial"/>
        <family val="0"/>
        <charset val="1"/>
      </rPr>
      <t xml:space="preserve">(</t>
    </r>
    <r>
      <rPr>
        <sz val="10"/>
        <rFont val="WenQuanYi Zen Hei"/>
        <family val="2"/>
      </rPr>
      <t xml:space="preserve">学生设计</t>
    </r>
    <r>
      <rPr>
        <sz val="10"/>
        <rFont val="Arial"/>
        <family val="0"/>
        <charset val="1"/>
      </rPr>
      <t xml:space="preserve">)</t>
    </r>
  </si>
  <si>
    <r>
      <rPr>
        <sz val="10"/>
        <rFont val="WenQuanYi Zen Hei"/>
        <family val="2"/>
      </rPr>
      <t xml:space="preserve">学生</t>
    </r>
    <r>
      <rPr>
        <sz val="10"/>
        <rFont val="Arial"/>
        <family val="0"/>
        <charset val="1"/>
      </rPr>
      <t xml:space="preserve">1</t>
    </r>
    <r>
      <rPr>
        <sz val="10"/>
        <rFont val="WenQuanYi Zen Hei"/>
        <family val="2"/>
      </rPr>
      <t xml:space="preserve">首个基线仅</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</si>
  <si>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WenQuanYi Zen Hei"/>
        <family val="2"/>
      </rPr>
      <t xml:space="preserve">强</t>
    </r>
    <r>
      <rPr>
        <sz val="10"/>
        <rFont val="Arial"/>
        <family val="0"/>
        <charset val="1"/>
      </rPr>
      <t xml:space="preserve">(</t>
    </r>
    <r>
      <rPr>
        <sz val="10"/>
        <rFont val="WenQuanYi Zen Hei"/>
        <family val="2"/>
      </rPr>
      <t xml:space="preserve">初判，学生正确反应</t>
    </r>
    <r>
      <rPr>
        <sz val="10"/>
        <rFont val="Arial"/>
        <family val="0"/>
        <charset val="1"/>
      </rPr>
      <t xml:space="preserve">)</t>
    </r>
  </si>
  <si>
    <r>
      <rPr>
        <sz val="10"/>
        <rFont val="WenQuanYi Zen Hei"/>
        <family val="2"/>
      </rPr>
      <t xml:space="preserve">学生中</t>
    </r>
    <r>
      <rPr>
        <sz val="10"/>
        <rFont val="Arial"/>
        <family val="0"/>
        <charset val="1"/>
      </rPr>
      <t xml:space="preserve">2</t>
    </r>
    <r>
      <rPr>
        <sz val="10"/>
        <rFont val="WenQuanYi Zen Hei"/>
        <family val="2"/>
      </rPr>
      <t xml:space="preserve">名为</t>
    </r>
    <r>
      <rPr>
        <sz val="10"/>
        <rFont val="Arial"/>
        <family val="0"/>
        <charset val="1"/>
      </rPr>
      <t xml:space="preserve">ASD</t>
    </r>
    <r>
      <rPr>
        <sz val="10"/>
        <rFont val="WenQuanYi Zen Hei"/>
        <family val="2"/>
      </rPr>
      <t xml:space="preserve">；</t>
    </r>
    <r>
      <rPr>
        <sz val="10"/>
        <rFont val="Arial"/>
        <family val="0"/>
        <charset val="1"/>
      </rPr>
      <t xml:space="preserve">IOA 100%</t>
    </r>
    <r>
      <rPr>
        <sz val="10"/>
        <rFont val="WenQuanYi Zen Hei"/>
        <family val="2"/>
      </rPr>
      <t xml:space="preserve">会话，</t>
    </r>
    <r>
      <rPr>
        <sz val="10"/>
        <rFont val="Arial"/>
        <family val="0"/>
        <charset val="1"/>
      </rPr>
      <t xml:space="preserve">98–100%</t>
    </r>
  </si>
  <si>
    <r>
      <rPr>
        <sz val="10"/>
        <rFont val="Arial"/>
        <family val="0"/>
        <charset val="1"/>
      </rPr>
      <t xml:space="preserve">033-A </t>
    </r>
    <r>
      <rPr>
        <sz val="10"/>
        <rFont val="WenQuanYi Zen Hei"/>
        <family val="2"/>
      </rPr>
      <t xml:space="preserve">融合高中课堂中由教学辅助人员实施的低强度同伴培训的探索</t>
    </r>
  </si>
  <si>
    <r>
      <rPr>
        <sz val="10"/>
        <rFont val="WenQuanYi Zen Hei"/>
        <family val="2"/>
      </rPr>
      <t xml:space="preserve">多探测跨学生</t>
    </r>
    <r>
      <rPr>
        <sz val="10"/>
        <rFont val="Arial"/>
        <family val="0"/>
        <charset val="1"/>
      </rPr>
      <t xml:space="preserve">/</t>
    </r>
    <r>
      <rPr>
        <sz val="10"/>
        <rFont val="WenQuanYi Zen Hei"/>
        <family val="2"/>
      </rPr>
      <t xml:space="preserve">班级</t>
    </r>
    <r>
      <rPr>
        <sz val="10"/>
        <rFont val="Arial"/>
        <family val="0"/>
        <charset val="1"/>
      </rPr>
      <t xml:space="preserve">(3</t>
    </r>
    <r>
      <rPr>
        <sz val="10"/>
        <rFont val="WenQuanYi Zen Hei"/>
        <family val="2"/>
      </rPr>
      <t xml:space="preserve">人</t>
    </r>
    <r>
      <rPr>
        <sz val="10"/>
        <rFont val="Arial"/>
        <family val="0"/>
        <charset val="1"/>
      </rPr>
      <t xml:space="preserve">)</t>
    </r>
  </si>
  <si>
    <r>
      <rPr>
        <sz val="10"/>
        <rFont val="Arial"/>
        <family val="0"/>
        <charset val="1"/>
      </rPr>
      <t xml:space="preserve">Jacob</t>
    </r>
    <r>
      <rPr>
        <sz val="10"/>
        <rFont val="WenQuanYi Zen Hei"/>
        <family val="2"/>
      </rPr>
      <t xml:space="preserve">基线</t>
    </r>
    <r>
      <rPr>
        <sz val="10"/>
        <rFont val="Arial"/>
        <family val="0"/>
        <charset val="1"/>
      </rPr>
      <t xml:space="preserve">4</t>
    </r>
    <r>
      <rPr>
        <sz val="10"/>
        <rFont val="WenQuanYi Zen Hei"/>
        <family val="2"/>
      </rPr>
      <t xml:space="preserve">点；</t>
    </r>
    <r>
      <rPr>
        <sz val="10"/>
        <rFont val="Arial"/>
        <family val="0"/>
        <charset val="1"/>
      </rPr>
      <t xml:space="preserve">Barry</t>
    </r>
    <r>
      <rPr>
        <sz val="10"/>
        <rFont val="WenQuanYi Zen Hei"/>
        <family val="2"/>
      </rPr>
      <t xml:space="preserve">干预</t>
    </r>
    <r>
      <rPr>
        <sz val="10"/>
        <rFont val="Arial"/>
        <family val="0"/>
        <charset val="1"/>
      </rPr>
      <t xml:space="preserve">4</t>
    </r>
    <r>
      <rPr>
        <sz val="10"/>
        <rFont val="WenQuanYi Zen Hei"/>
        <family val="2"/>
      </rPr>
      <t xml:space="preserve">点；干预前</t>
    </r>
    <r>
      <rPr>
        <sz val="10"/>
        <rFont val="Arial"/>
        <family val="0"/>
        <charset val="1"/>
      </rPr>
      <t xml:space="preserve">3</t>
    </r>
    <r>
      <rPr>
        <sz val="10"/>
        <rFont val="WenQuanYi Zen Hei"/>
        <family val="2"/>
      </rPr>
      <t xml:space="preserve">次会话内仅</t>
    </r>
    <r>
      <rPr>
        <sz val="10"/>
        <rFont val="Arial"/>
        <family val="0"/>
        <charset val="1"/>
      </rPr>
      <t xml:space="preserve">1</t>
    </r>
    <r>
      <rPr>
        <sz val="10"/>
        <rFont val="WenQuanYi Zen Hei"/>
        <family val="2"/>
      </rPr>
      <t xml:space="preserve">个探测点</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</si>
  <si>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Jacob</t>
    </r>
    <r>
      <rPr>
        <sz val="10"/>
        <rFont val="WenQuanYi Zen Hei"/>
        <family val="2"/>
      </rPr>
      <t xml:space="preserve">效果滞后</t>
    </r>
    <r>
      <rPr>
        <sz val="10"/>
        <rFont val="Arial"/>
        <family val="0"/>
        <charset val="1"/>
      </rPr>
      <t xml:space="preserve">)</t>
    </r>
  </si>
  <si>
    <r>
      <rPr>
        <sz val="10"/>
        <rFont val="WenQuanYi Zen Hei"/>
        <family val="2"/>
      </rPr>
      <t xml:space="preserve">仅</t>
    </r>
    <r>
      <rPr>
        <sz val="10"/>
        <rFont val="Arial"/>
        <family val="0"/>
        <charset val="1"/>
      </rPr>
      <t xml:space="preserve">Max</t>
    </r>
    <r>
      <rPr>
        <sz val="10"/>
        <rFont val="WenQuanYi Zen Hei"/>
        <family val="2"/>
      </rPr>
      <t xml:space="preserve">为</t>
    </r>
    <r>
      <rPr>
        <sz val="10"/>
        <rFont val="Arial"/>
        <family val="0"/>
        <charset val="1"/>
      </rPr>
      <t xml:space="preserve">ASD</t>
    </r>
    <r>
      <rPr>
        <sz val="10"/>
        <rFont val="WenQuanYi Zen Hei"/>
        <family val="2"/>
      </rPr>
      <t xml:space="preserve">；</t>
    </r>
    <r>
      <rPr>
        <sz val="10"/>
        <rFont val="Arial"/>
        <family val="0"/>
        <charset val="1"/>
      </rPr>
      <t xml:space="preserve">IOA 23–33%</t>
    </r>
    <r>
      <rPr>
        <sz val="10"/>
        <rFont val="WenQuanYi Zen Hei"/>
        <family val="2"/>
      </rPr>
      <t xml:space="preserve">，约</t>
    </r>
    <r>
      <rPr>
        <sz val="10"/>
        <rFont val="Arial"/>
        <family val="0"/>
        <charset val="1"/>
      </rPr>
      <t xml:space="preserve">99%</t>
    </r>
  </si>
  <si>
    <r>
      <rPr>
        <sz val="10"/>
        <rFont val="Arial"/>
        <family val="0"/>
        <charset val="1"/>
      </rPr>
      <t xml:space="preserve">034-A </t>
    </r>
    <r>
      <rPr>
        <sz val="10"/>
        <rFont val="WenQuanYi Zen Hei"/>
        <family val="2"/>
      </rPr>
      <t xml:space="preserve">运用同伴介入与教育工作者引导促进融合托育环境中孤独症谱系障碍幼儿的轮流行为</t>
    </r>
  </si>
  <si>
    <r>
      <rPr>
        <sz val="10"/>
        <rFont val="Arial"/>
        <family val="0"/>
        <charset val="1"/>
      </rPr>
      <t xml:space="preserve">Adam</t>
    </r>
    <r>
      <rPr>
        <sz val="10"/>
        <rFont val="WenQuanYi Zen Hei"/>
        <family val="2"/>
      </rPr>
      <t xml:space="preserve">进入干预</t>
    </r>
    <r>
      <rPr>
        <sz val="10"/>
        <rFont val="Arial"/>
        <family val="0"/>
        <charset val="1"/>
      </rPr>
      <t xml:space="preserve">(</t>
    </r>
    <r>
      <rPr>
        <sz val="10"/>
        <rFont val="WenQuanYi Zen Hei"/>
        <family val="2"/>
      </rPr>
      <t xml:space="preserve">约第</t>
    </r>
    <r>
      <rPr>
        <sz val="10"/>
        <rFont val="Arial"/>
        <family val="0"/>
        <charset val="1"/>
      </rPr>
      <t xml:space="preserve">15</t>
    </r>
    <r>
      <rPr>
        <sz val="10"/>
        <rFont val="WenQuanYi Zen Hei"/>
        <family val="2"/>
      </rPr>
      <t xml:space="preserve">天</t>
    </r>
    <r>
      <rPr>
        <sz val="10"/>
        <rFont val="Arial"/>
        <family val="0"/>
        <charset val="1"/>
      </rPr>
      <t xml:space="preserve">)</t>
    </r>
    <r>
      <rPr>
        <sz val="10"/>
        <rFont val="WenQuanYi Zen Hei"/>
        <family val="2"/>
      </rPr>
      <t xml:space="preserve">及达标时，</t>
    </r>
    <r>
      <rPr>
        <sz val="10"/>
        <rFont val="Arial"/>
        <family val="0"/>
        <charset val="1"/>
      </rPr>
      <t xml:space="preserve">Noah</t>
    </r>
    <r>
      <rPr>
        <sz val="10"/>
        <rFont val="WenQuanYi Zen Hei"/>
        <family val="2"/>
      </rPr>
      <t xml:space="preserve">无探测点</t>
    </r>
    <r>
      <rPr>
        <sz val="10"/>
        <rFont val="Arial"/>
        <family val="0"/>
        <charset val="1"/>
      </rPr>
      <t xml:space="preserve">(</t>
    </r>
    <r>
      <rPr>
        <sz val="10"/>
        <rFont val="WenQuanYi Zen Hei"/>
        <family val="2"/>
      </rPr>
      <t xml:space="preserve">第</t>
    </r>
    <r>
      <rPr>
        <sz val="10"/>
        <rFont val="Arial"/>
        <family val="0"/>
        <charset val="1"/>
      </rPr>
      <t xml:space="preserve">4</t>
    </r>
    <r>
      <rPr>
        <sz val="10"/>
        <rFont val="WenQuanYi Zen Hei"/>
        <family val="2"/>
      </rPr>
      <t xml:space="preserve">天后直到第</t>
    </r>
    <r>
      <rPr>
        <sz val="10"/>
        <rFont val="Arial"/>
        <family val="0"/>
        <charset val="1"/>
      </rPr>
      <t xml:space="preserve">32</t>
    </r>
    <r>
      <rPr>
        <sz val="10"/>
        <rFont val="WenQuanYi Zen Hei"/>
        <family val="2"/>
      </rPr>
      <t xml:space="preserve">天</t>
    </r>
    <r>
      <rPr>
        <sz val="10"/>
        <rFont val="Arial"/>
        <family val="0"/>
        <charset val="1"/>
      </rPr>
      <t xml:space="preserve">)</t>
    </r>
  </si>
  <si>
    <r>
      <rPr>
        <sz val="10"/>
        <rFont val="WenQuanYi Zen Hei"/>
        <family val="2"/>
      </rPr>
      <t xml:space="preserve">同左</t>
    </r>
    <r>
      <rPr>
        <sz val="10"/>
        <rFont val="Arial"/>
        <family val="0"/>
        <charset val="1"/>
      </rPr>
      <t xml:space="preserve">(5.0</t>
    </r>
    <r>
      <rPr>
        <sz val="10"/>
        <rFont val="WenQuanYi Zen Hei"/>
        <family val="2"/>
      </rPr>
      <t xml:space="preserve">保留同一条探测要求</t>
    </r>
    <r>
      <rPr>
        <sz val="10"/>
        <rFont val="Arial"/>
        <family val="0"/>
        <charset val="1"/>
      </rPr>
      <t xml:space="preserve">)</t>
    </r>
  </si>
  <si>
    <r>
      <rPr>
        <sz val="10"/>
        <rFont val="Arial"/>
        <family val="0"/>
        <charset val="1"/>
      </rPr>
      <t xml:space="preserve">Adam</t>
    </r>
    <r>
      <rPr>
        <sz val="10"/>
        <rFont val="WenQuanYi Zen Hei"/>
        <family val="2"/>
      </rPr>
      <t xml:space="preserve">第一干预期基本无效果；</t>
    </r>
    <r>
      <rPr>
        <sz val="10"/>
        <rFont val="Arial"/>
        <family val="0"/>
        <charset val="1"/>
      </rPr>
      <t xml:space="preserve">IOA≥20%</t>
    </r>
    <r>
      <rPr>
        <sz val="10"/>
        <rFont val="WenQuanYi Zen Hei"/>
        <family val="2"/>
      </rPr>
      <t xml:space="preserve">，</t>
    </r>
    <r>
      <rPr>
        <sz val="10"/>
        <rFont val="Arial"/>
        <family val="0"/>
        <charset val="1"/>
      </rPr>
      <t xml:space="preserve">95.7%</t>
    </r>
  </si>
  <si>
    <r>
      <rPr>
        <sz val="10"/>
        <rFont val="Arial"/>
        <family val="0"/>
        <charset val="1"/>
      </rPr>
      <t xml:space="preserve">035-A </t>
    </r>
    <r>
      <rPr>
        <sz val="10"/>
        <rFont val="WenQuanYi Zen Hei"/>
        <family val="2"/>
      </rPr>
      <t xml:space="preserve">促进孤独症谱系障碍幼儿同伴社会互动的基于兴趣的综合干预方案</t>
    </r>
  </si>
  <si>
    <r>
      <rPr>
        <sz val="10"/>
        <rFont val="WenQuanYi Zen Hei"/>
        <family val="2"/>
      </rPr>
      <t xml:space="preserve">多基线</t>
    </r>
    <r>
      <rPr>
        <sz val="10"/>
        <rFont val="Arial"/>
        <family val="0"/>
        <charset val="1"/>
      </rPr>
      <t xml:space="preserve">(4</t>
    </r>
    <r>
      <rPr>
        <sz val="10"/>
        <rFont val="WenQuanYi Zen Hei"/>
        <family val="2"/>
      </rPr>
      <t xml:space="preserve">人</t>
    </r>
    <r>
      <rPr>
        <sz val="10"/>
        <rFont val="Arial"/>
        <family val="0"/>
        <charset val="1"/>
      </rPr>
      <t xml:space="preserve">)+</t>
    </r>
    <r>
      <rPr>
        <sz val="10"/>
        <rFont val="WenQuanYi Zen Hei"/>
        <family val="2"/>
      </rPr>
      <t xml:space="preserve">每人</t>
    </r>
    <r>
      <rPr>
        <sz val="10"/>
        <rFont val="Arial"/>
        <family val="0"/>
        <charset val="1"/>
      </rPr>
      <t xml:space="preserve">A-B-A-B</t>
    </r>
    <r>
      <rPr>
        <sz val="10"/>
        <rFont val="WenQuanYi Zen Hei"/>
        <family val="2"/>
      </rPr>
      <t xml:space="preserve">撤回</t>
    </r>
  </si>
  <si>
    <r>
      <rPr>
        <sz val="10"/>
        <rFont val="WenQuanYi Zen Hei"/>
        <family val="2"/>
      </rPr>
      <t xml:space="preserve">无保留</t>
    </r>
    <r>
      <rPr>
        <sz val="10"/>
        <rFont val="Arial"/>
        <family val="0"/>
        <charset val="1"/>
      </rPr>
      <t xml:space="preserve">(</t>
    </r>
    <r>
      <rPr>
        <sz val="10"/>
        <rFont val="WenQuanYi Zen Hei"/>
        <family val="2"/>
      </rPr>
      <t xml:space="preserve">多基线部分</t>
    </r>
    <r>
      <rPr>
        <sz val="10"/>
        <rFont val="Arial"/>
        <family val="0"/>
        <charset val="1"/>
      </rPr>
      <t xml:space="preserve">)</t>
    </r>
  </si>
  <si>
    <r>
      <rPr>
        <sz val="10"/>
        <rFont val="WenQuanYi Zen Hei"/>
        <family val="2"/>
      </rPr>
      <t xml:space="preserve">撤回部分第二基线仅</t>
    </r>
    <r>
      <rPr>
        <sz val="10"/>
        <rFont val="Arial"/>
        <family val="0"/>
        <charset val="1"/>
      </rPr>
      <t xml:space="preserve">3–4</t>
    </r>
    <r>
      <rPr>
        <sz val="10"/>
        <rFont val="WenQuanYi Zen Hei"/>
        <family val="2"/>
      </rPr>
      <t xml:space="preserve">点→该部分仅有保留</t>
    </r>
  </si>
  <si>
    <r>
      <rPr>
        <sz val="10"/>
        <rFont val="WenQuanYi Zen Hei"/>
        <family val="2"/>
      </rPr>
      <t xml:space="preserve">无保留</t>
    </r>
    <r>
      <rPr>
        <sz val="10"/>
        <rFont val="Arial"/>
        <family val="0"/>
        <charset val="1"/>
      </rPr>
      <t xml:space="preserve">(</t>
    </r>
    <r>
      <rPr>
        <sz val="10"/>
        <rFont val="WenQuanYi Zen Hei"/>
        <family val="2"/>
      </rPr>
      <t xml:space="preserve">初判，多基线部分</t>
    </r>
    <r>
      <rPr>
        <sz val="10"/>
        <rFont val="Arial"/>
        <family val="0"/>
        <charset val="1"/>
      </rPr>
      <t xml:space="preserve">)</t>
    </r>
  </si>
  <si>
    <r>
      <rPr>
        <sz val="10"/>
        <rFont val="WenQuanYi Zen Hei"/>
        <family val="2"/>
      </rPr>
      <t xml:space="preserve">首个基线约</t>
    </r>
    <r>
      <rPr>
        <sz val="10"/>
        <rFont val="Arial"/>
        <family val="0"/>
        <charset val="1"/>
      </rPr>
      <t xml:space="preserve">6</t>
    </r>
    <r>
      <rPr>
        <sz val="10"/>
        <rFont val="WenQuanYi Zen Hei"/>
        <family val="2"/>
      </rPr>
      <t xml:space="preserve">点、干预期≥</t>
    </r>
    <r>
      <rPr>
        <sz val="10"/>
        <rFont val="Arial"/>
        <family val="0"/>
        <charset val="1"/>
      </rPr>
      <t xml:space="preserve">5</t>
    </r>
    <r>
      <rPr>
        <sz val="10"/>
        <rFont val="WenQuanYi Zen Hei"/>
        <family val="2"/>
      </rPr>
      <t xml:space="preserve">点；撤回部分第二基线</t>
    </r>
    <r>
      <rPr>
        <sz val="10"/>
        <rFont val="Arial"/>
        <family val="0"/>
        <charset val="1"/>
      </rPr>
      <t xml:space="preserve">3–4</t>
    </r>
    <r>
      <rPr>
        <sz val="10"/>
        <rFont val="WenQuanYi Zen Hei"/>
        <family val="2"/>
      </rPr>
      <t xml:space="preserve">点</t>
    </r>
  </si>
  <si>
    <r>
      <rPr>
        <sz val="10"/>
        <rFont val="WenQuanYi Zen Hei"/>
        <family val="2"/>
      </rPr>
      <t xml:space="preserve">强</t>
    </r>
    <r>
      <rPr>
        <sz val="10"/>
        <rFont val="Arial"/>
        <family val="0"/>
        <charset val="1"/>
      </rPr>
      <t xml:space="preserve">(</t>
    </r>
    <r>
      <rPr>
        <sz val="10"/>
        <rFont val="WenQuanYi Zen Hei"/>
        <family val="2"/>
      </rPr>
      <t xml:space="preserve">初判；</t>
    </r>
    <r>
      <rPr>
        <sz val="10"/>
        <rFont val="Arial"/>
        <family val="0"/>
        <charset val="1"/>
      </rPr>
      <t xml:space="preserve">Julia</t>
    </r>
    <r>
      <rPr>
        <sz val="10"/>
        <rFont val="WenQuanYi Zen Hei"/>
        <family val="2"/>
      </rPr>
      <t xml:space="preserve">效果小</t>
    </r>
    <r>
      <rPr>
        <sz val="10"/>
        <rFont val="Arial"/>
        <family val="0"/>
        <charset val="1"/>
      </rPr>
      <t xml:space="preserve">)</t>
    </r>
  </si>
  <si>
    <r>
      <rPr>
        <sz val="10"/>
        <rFont val="Arial"/>
        <family val="0"/>
        <charset val="1"/>
      </rPr>
      <t xml:space="preserve">IOA 73%</t>
    </r>
    <r>
      <rPr>
        <sz val="10"/>
        <rFont val="WenQuanYi Zen Hei"/>
        <family val="2"/>
      </rPr>
      <t xml:space="preserve">会话，发起</t>
    </r>
    <r>
      <rPr>
        <sz val="10"/>
        <rFont val="Arial"/>
        <family val="0"/>
        <charset val="1"/>
      </rPr>
      <t xml:space="preserve">96.9%</t>
    </r>
    <r>
      <rPr>
        <sz val="10"/>
        <rFont val="WenQuanYi Zen Hei"/>
        <family val="2"/>
      </rPr>
      <t xml:space="preserve">、回应</t>
    </r>
    <r>
      <rPr>
        <sz val="10"/>
        <rFont val="Arial"/>
        <family val="0"/>
        <charset val="1"/>
      </rPr>
      <t xml:space="preserve">98.5%</t>
    </r>
  </si>
  <si>
    <r>
      <rPr>
        <sz val="10"/>
        <rFont val="Arial"/>
        <family val="0"/>
        <charset val="1"/>
      </rPr>
      <t xml:space="preserve">036-A </t>
    </r>
    <r>
      <rPr>
        <sz val="10"/>
        <rFont val="WenQuanYi Zen Hei"/>
        <family val="2"/>
      </rPr>
      <t xml:space="preserve">在融合情境中由教学辅助人员实施视频提示以教授重度障碍学生学业内容</t>
    </r>
  </si>
  <si>
    <r>
      <rPr>
        <sz val="10"/>
        <rFont val="WenQuanYi Zen Hei"/>
        <family val="2"/>
      </rPr>
      <t xml:space="preserve">多探测跨</t>
    </r>
    <r>
      <rPr>
        <sz val="10"/>
        <rFont val="Arial"/>
        <family val="0"/>
        <charset val="1"/>
      </rPr>
      <t xml:space="preserve">3</t>
    </r>
    <r>
      <rPr>
        <sz val="10"/>
        <rFont val="WenQuanYi Zen Hei"/>
        <family val="2"/>
      </rPr>
      <t xml:space="preserve">人</t>
    </r>
    <r>
      <rPr>
        <sz val="10"/>
        <rFont val="Arial"/>
        <family val="0"/>
        <charset val="1"/>
      </rPr>
      <t xml:space="preserve">×2</t>
    </r>
    <r>
      <rPr>
        <sz val="10"/>
        <rFont val="WenQuanYi Zen Hei"/>
        <family val="2"/>
      </rPr>
      <t xml:space="preserve">项技能</t>
    </r>
    <r>
      <rPr>
        <sz val="10"/>
        <rFont val="Arial"/>
        <family val="0"/>
        <charset val="1"/>
      </rPr>
      <t xml:space="preserve">(6</t>
    </r>
    <r>
      <rPr>
        <sz val="10"/>
        <rFont val="WenQuanYi Zen Hei"/>
        <family val="2"/>
      </rPr>
      <t xml:space="preserve">层</t>
    </r>
    <r>
      <rPr>
        <sz val="10"/>
        <rFont val="Arial"/>
        <family val="0"/>
        <charset val="1"/>
      </rPr>
      <t xml:space="preserve">)</t>
    </r>
  </si>
  <si>
    <r>
      <rPr>
        <sz val="10"/>
        <rFont val="Arial"/>
        <family val="0"/>
        <charset val="1"/>
      </rPr>
      <t xml:space="preserve">Kingston</t>
    </r>
    <r>
      <rPr>
        <sz val="10"/>
        <rFont val="WenQuanYi Zen Hei"/>
        <family val="2"/>
      </rPr>
      <t xml:space="preserve">技能</t>
    </r>
    <r>
      <rPr>
        <sz val="10"/>
        <rFont val="Arial"/>
        <family val="0"/>
        <charset val="1"/>
      </rPr>
      <t xml:space="preserve">1</t>
    </r>
    <r>
      <rPr>
        <sz val="10"/>
        <rFont val="WenQuanYi Zen Hei"/>
        <family val="2"/>
      </rPr>
      <t xml:space="preserve">基线仅</t>
    </r>
    <r>
      <rPr>
        <sz val="10"/>
        <rFont val="Arial"/>
        <family val="0"/>
        <charset val="1"/>
      </rPr>
      <t xml:space="preserve">4</t>
    </r>
    <r>
      <rPr>
        <sz val="10"/>
        <rFont val="WenQuanYi Zen Hei"/>
        <family val="2"/>
      </rPr>
      <t xml:space="preserve">点；</t>
    </r>
    <r>
      <rPr>
        <sz val="10"/>
        <rFont val="Arial"/>
        <family val="0"/>
        <charset val="1"/>
      </rPr>
      <t xml:space="preserve">Mateo</t>
    </r>
    <r>
      <rPr>
        <sz val="10"/>
        <rFont val="WenQuanYi Zen Hei"/>
        <family val="2"/>
      </rPr>
      <t xml:space="preserve">技能</t>
    </r>
    <r>
      <rPr>
        <sz val="10"/>
        <rFont val="Arial"/>
        <family val="0"/>
        <charset val="1"/>
      </rPr>
      <t xml:space="preserve">2</t>
    </r>
    <r>
      <rPr>
        <sz val="10"/>
        <rFont val="WenQuanYi Zen Hei"/>
        <family val="2"/>
      </rPr>
      <t xml:space="preserve">干预期</t>
    </r>
    <r>
      <rPr>
        <sz val="10"/>
        <rFont val="Arial"/>
        <family val="0"/>
        <charset val="1"/>
      </rPr>
      <t xml:space="preserve">4</t>
    </r>
    <r>
      <rPr>
        <sz val="10"/>
        <rFont val="WenQuanYi Zen Hei"/>
        <family val="2"/>
      </rPr>
      <t xml:space="preserve">点</t>
    </r>
  </si>
  <si>
    <r>
      <rPr>
        <sz val="10"/>
        <rFont val="WenQuanYi Zen Hei"/>
        <family val="2"/>
      </rPr>
      <t xml:space="preserve">仅</t>
    </r>
    <r>
      <rPr>
        <sz val="10"/>
        <rFont val="Arial"/>
        <family val="0"/>
        <charset val="1"/>
      </rPr>
      <t xml:space="preserve">Mallory</t>
    </r>
    <r>
      <rPr>
        <sz val="10"/>
        <rFont val="WenQuanYi Zen Hei"/>
        <family val="2"/>
      </rPr>
      <t xml:space="preserve">、</t>
    </r>
    <r>
      <rPr>
        <sz val="10"/>
        <rFont val="Arial"/>
        <family val="0"/>
        <charset val="1"/>
      </rPr>
      <t xml:space="preserve">Mateo</t>
    </r>
    <r>
      <rPr>
        <sz val="10"/>
        <rFont val="WenQuanYi Zen Hei"/>
        <family val="2"/>
      </rPr>
      <t xml:space="preserve">为</t>
    </r>
    <r>
      <rPr>
        <sz val="10"/>
        <rFont val="Arial"/>
        <family val="0"/>
        <charset val="1"/>
      </rPr>
      <t xml:space="preserve">ASD</t>
    </r>
    <r>
      <rPr>
        <sz val="10"/>
        <rFont val="WenQuanYi Zen Hei"/>
        <family val="2"/>
      </rPr>
      <t xml:space="preserve">；</t>
    </r>
    <r>
      <rPr>
        <sz val="10"/>
        <rFont val="Arial"/>
        <family val="0"/>
        <charset val="1"/>
      </rPr>
      <t xml:space="preserve">IOA</t>
    </r>
    <r>
      <rPr>
        <sz val="10"/>
        <rFont val="WenQuanYi Zen Hei"/>
        <family val="2"/>
      </rPr>
      <t xml:space="preserve">基线</t>
    </r>
    <r>
      <rPr>
        <sz val="10"/>
        <rFont val="Arial"/>
        <family val="0"/>
        <charset val="1"/>
      </rPr>
      <t xml:space="preserve">37%</t>
    </r>
    <r>
      <rPr>
        <sz val="10"/>
        <rFont val="WenQuanYi Zen Hei"/>
        <family val="2"/>
      </rPr>
      <t xml:space="preserve">、干预</t>
    </r>
    <r>
      <rPr>
        <sz val="10"/>
        <rFont val="Arial"/>
        <family val="0"/>
        <charset val="1"/>
      </rPr>
      <t xml:space="preserve">53%</t>
    </r>
    <r>
      <rPr>
        <sz val="10"/>
        <rFont val="WenQuanYi Zen Hei"/>
        <family val="2"/>
      </rPr>
      <t xml:space="preserve">，</t>
    </r>
    <r>
      <rPr>
        <sz val="10"/>
        <rFont val="Arial"/>
        <family val="0"/>
        <charset val="1"/>
      </rPr>
      <t xml:space="preserve">100%</t>
    </r>
  </si>
  <si>
    <r>
      <rPr>
        <b val="true"/>
        <sz val="10"/>
        <rFont val="Arial"/>
        <family val="0"/>
        <charset val="1"/>
      </rPr>
      <t xml:space="preserve">037-A </t>
    </r>
    <r>
      <rPr>
        <b val="true"/>
        <sz val="10"/>
        <rFont val="WenQuanYi Zen Hei"/>
        <family val="2"/>
      </rPr>
      <t xml:space="preserve">运用同伴介入的乐高游戏干预改善融合情境中中国孤独症儿童的社会互动</t>
    </r>
  </si>
  <si>
    <r>
      <rPr>
        <sz val="10"/>
        <rFont val="WenQuanYi Zen Hei"/>
        <family val="2"/>
      </rPr>
      <t xml:space="preserve">每人</t>
    </r>
    <r>
      <rPr>
        <sz val="10"/>
        <rFont val="Arial"/>
        <family val="0"/>
        <charset val="1"/>
      </rPr>
      <t xml:space="preserve">A-B-A-B</t>
    </r>
    <r>
      <rPr>
        <sz val="10"/>
        <rFont val="WenQuanYi Zen Hei"/>
        <family val="2"/>
      </rPr>
      <t xml:space="preserve">撤回</t>
    </r>
    <r>
      <rPr>
        <sz val="10"/>
        <rFont val="Arial"/>
        <family val="0"/>
        <charset val="1"/>
      </rPr>
      <t xml:space="preserve">(</t>
    </r>
    <r>
      <rPr>
        <sz val="10"/>
        <rFont val="WenQuanYi Zen Hei"/>
        <family val="2"/>
      </rPr>
      <t xml:space="preserve">主</t>
    </r>
    <r>
      <rPr>
        <sz val="10"/>
        <rFont val="Arial"/>
        <family val="0"/>
        <charset val="1"/>
      </rPr>
      <t xml:space="preserve">)+</t>
    </r>
    <r>
      <rPr>
        <sz val="10"/>
        <rFont val="WenQuanYi Zen Hei"/>
        <family val="2"/>
      </rPr>
      <t xml:space="preserve">非同时多探测</t>
    </r>
    <r>
      <rPr>
        <sz val="10"/>
        <rFont val="Arial"/>
        <family val="0"/>
        <charset val="1"/>
      </rPr>
      <t xml:space="preserve">(</t>
    </r>
    <r>
      <rPr>
        <sz val="10"/>
        <rFont val="WenQuanYi Zen Hei"/>
        <family val="2"/>
      </rPr>
      <t xml:space="preserve">辅</t>
    </r>
    <r>
      <rPr>
        <sz val="10"/>
        <rFont val="Arial"/>
        <family val="0"/>
        <charset val="1"/>
      </rPr>
      <t xml:space="preserve">)</t>
    </r>
  </si>
  <si>
    <r>
      <rPr>
        <sz val="10"/>
        <rFont val="WenQuanYi Zen Hei"/>
        <family val="2"/>
      </rPr>
      <t xml:space="preserve">无保留</t>
    </r>
    <r>
      <rPr>
        <sz val="10"/>
        <rFont val="Arial"/>
        <family val="0"/>
        <charset val="1"/>
      </rPr>
      <t xml:space="preserve">(Youyou</t>
    </r>
    <r>
      <rPr>
        <sz val="10"/>
        <rFont val="WenQuanYi Zen Hei"/>
        <family val="2"/>
      </rPr>
      <t xml:space="preserve">的</t>
    </r>
    <r>
      <rPr>
        <sz val="10"/>
        <rFont val="Arial"/>
        <family val="0"/>
        <charset val="1"/>
      </rPr>
      <t xml:space="preserve">ABAB)</t>
    </r>
  </si>
  <si>
    <r>
      <rPr>
        <sz val="10"/>
        <rFont val="Arial"/>
        <family val="0"/>
        <charset val="1"/>
      </rPr>
      <t xml:space="preserve">Yangyang</t>
    </r>
    <r>
      <rPr>
        <sz val="10"/>
        <rFont val="WenQuanYi Zen Hei"/>
        <family val="2"/>
      </rPr>
      <t xml:space="preserve">、</t>
    </r>
    <r>
      <rPr>
        <sz val="10"/>
        <rFont val="Arial"/>
        <family val="0"/>
        <charset val="1"/>
      </rPr>
      <t xml:space="preserve">Xinxin</t>
    </r>
    <r>
      <rPr>
        <sz val="10"/>
        <rFont val="WenQuanYi Zen Hei"/>
        <family val="2"/>
      </rPr>
      <t xml:space="preserve">第二基线仅</t>
    </r>
    <r>
      <rPr>
        <sz val="10"/>
        <rFont val="Arial"/>
        <family val="0"/>
        <charset val="1"/>
      </rPr>
      <t xml:space="preserve">4</t>
    </r>
    <r>
      <rPr>
        <sz val="10"/>
        <rFont val="WenQuanYi Zen Hei"/>
        <family val="2"/>
      </rPr>
      <t xml:space="preserve">点→有保留</t>
    </r>
  </si>
  <si>
    <r>
      <rPr>
        <sz val="10"/>
        <rFont val="WenQuanYi Zen Hei"/>
        <family val="2"/>
      </rPr>
      <t xml:space="preserve">各人首个基线均≤</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</si>
  <si>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Arial"/>
        <family val="0"/>
        <charset val="1"/>
      </rPr>
      <t xml:space="preserve">5.0</t>
    </r>
    <r>
      <rPr>
        <sz val="10"/>
        <rFont val="WenQuanYi Zen Hei"/>
        <family val="2"/>
      </rPr>
      <t xml:space="preserve">首个基线需≥</t>
    </r>
    <r>
      <rPr>
        <sz val="10"/>
        <rFont val="Arial"/>
        <family val="0"/>
        <charset val="1"/>
      </rPr>
      <t xml:space="preserve">6</t>
    </r>
    <r>
      <rPr>
        <sz val="10"/>
        <rFont val="WenQuanYi Zen Hei"/>
        <family val="2"/>
      </rPr>
      <t xml:space="preserve">点</t>
    </r>
  </si>
  <si>
    <r>
      <rPr>
        <sz val="10"/>
        <rFont val="WenQuanYi Zen Hei"/>
        <family val="2"/>
      </rPr>
      <t xml:space="preserve">作者自述多探测为非同时设计</t>
    </r>
    <r>
      <rPr>
        <sz val="10"/>
        <rFont val="Arial"/>
        <family val="0"/>
        <charset val="1"/>
      </rPr>
      <t xml:space="preserve">(5.0</t>
    </r>
    <r>
      <rPr>
        <sz val="10"/>
        <rFont val="WenQuanYi Zen Hei"/>
        <family val="2"/>
      </rPr>
      <t xml:space="preserve">不认可</t>
    </r>
    <r>
      <rPr>
        <sz val="10"/>
        <rFont val="Arial"/>
        <family val="0"/>
        <charset val="1"/>
      </rPr>
      <t xml:space="preserve">)</t>
    </r>
    <r>
      <rPr>
        <sz val="10"/>
        <rFont val="WenQuanYi Zen Hei"/>
        <family val="2"/>
      </rPr>
      <t xml:space="preserve">，故以</t>
    </r>
    <r>
      <rPr>
        <sz val="10"/>
        <rFont val="Arial"/>
        <family val="0"/>
        <charset val="1"/>
      </rPr>
      <t xml:space="preserve">ABAB</t>
    </r>
    <r>
      <rPr>
        <sz val="10"/>
        <rFont val="WenQuanYi Zen Hei"/>
        <family val="2"/>
      </rPr>
      <t xml:space="preserve">评；</t>
    </r>
    <r>
      <rPr>
        <sz val="10"/>
        <rFont val="Arial"/>
        <family val="0"/>
        <charset val="1"/>
      </rPr>
      <t xml:space="preserve">IOA</t>
    </r>
    <r>
      <rPr>
        <sz val="10"/>
        <rFont val="WenQuanYi Zen Hei"/>
        <family val="2"/>
      </rPr>
      <t xml:space="preserve">基线</t>
    </r>
    <r>
      <rPr>
        <sz val="10"/>
        <rFont val="Arial"/>
        <family val="0"/>
        <charset val="1"/>
      </rPr>
      <t xml:space="preserve">33%/</t>
    </r>
    <r>
      <rPr>
        <sz val="10"/>
        <rFont val="WenQuanYi Zen Hei"/>
        <family val="2"/>
      </rPr>
      <t xml:space="preserve">干预</t>
    </r>
    <r>
      <rPr>
        <sz val="10"/>
        <rFont val="Arial"/>
        <family val="0"/>
        <charset val="1"/>
      </rPr>
      <t xml:space="preserve">40%</t>
    </r>
    <r>
      <rPr>
        <sz val="10"/>
        <rFont val="WenQuanYi Zen Hei"/>
        <family val="2"/>
      </rPr>
      <t xml:space="preserve">，</t>
    </r>
    <r>
      <rPr>
        <sz val="10"/>
        <rFont val="Arial"/>
        <family val="0"/>
        <charset val="1"/>
      </rPr>
      <t xml:space="preserve">88–91%</t>
    </r>
  </si>
  <si>
    <r>
      <rPr>
        <sz val="10"/>
        <rFont val="Arial"/>
        <family val="0"/>
        <charset val="1"/>
      </rPr>
      <t xml:space="preserve">038-A </t>
    </r>
    <r>
      <rPr>
        <sz val="10"/>
        <rFont val="WenQuanYi Zen Hei"/>
        <family val="2"/>
      </rPr>
      <t xml:space="preserve">共同视频示范对孤独症谱系障碍儿童非脚本化游戏行为的影响</t>
    </r>
  </si>
  <si>
    <r>
      <rPr>
        <sz val="10"/>
        <rFont val="Arial"/>
        <family val="0"/>
        <charset val="1"/>
      </rPr>
      <t xml:space="preserve">Rita</t>
    </r>
    <r>
      <rPr>
        <sz val="10"/>
        <rFont val="WenQuanYi Zen Hei"/>
        <family val="2"/>
      </rPr>
      <t xml:space="preserve">进入干预</t>
    </r>
    <r>
      <rPr>
        <sz val="10"/>
        <rFont val="Arial"/>
        <family val="0"/>
        <charset val="1"/>
      </rPr>
      <t xml:space="preserve">(</t>
    </r>
    <r>
      <rPr>
        <sz val="10"/>
        <rFont val="WenQuanYi Zen Hei"/>
        <family val="2"/>
      </rPr>
      <t xml:space="preserve">第</t>
    </r>
    <r>
      <rPr>
        <sz val="10"/>
        <rFont val="Arial"/>
        <family val="0"/>
        <charset val="1"/>
      </rPr>
      <t xml:space="preserve">7</t>
    </r>
    <r>
      <rPr>
        <sz val="10"/>
        <rFont val="WenQuanYi Zen Hei"/>
        <family val="2"/>
      </rPr>
      <t xml:space="preserve">次</t>
    </r>
    <r>
      <rPr>
        <sz val="10"/>
        <rFont val="Arial"/>
        <family val="0"/>
        <charset val="1"/>
      </rPr>
      <t xml:space="preserve">)</t>
    </r>
    <r>
      <rPr>
        <sz val="10"/>
        <rFont val="WenQuanYi Zen Hei"/>
        <family val="2"/>
      </rPr>
      <t xml:space="preserve">时，</t>
    </r>
    <r>
      <rPr>
        <sz val="10"/>
        <rFont val="Arial"/>
        <family val="0"/>
        <charset val="1"/>
      </rPr>
      <t xml:space="preserve">Saul</t>
    </r>
    <r>
      <rPr>
        <sz val="10"/>
        <rFont val="WenQuanYi Zen Hei"/>
        <family val="2"/>
      </rPr>
      <t xml:space="preserve">、</t>
    </r>
    <r>
      <rPr>
        <sz val="10"/>
        <rFont val="Arial"/>
        <family val="0"/>
        <charset val="1"/>
      </rPr>
      <t xml:space="preserve">Lucas</t>
    </r>
    <r>
      <rPr>
        <sz val="10"/>
        <rFont val="WenQuanYi Zen Hei"/>
        <family val="2"/>
      </rPr>
      <t xml:space="preserve">最近探测在第</t>
    </r>
    <r>
      <rPr>
        <sz val="10"/>
        <rFont val="Arial"/>
        <family val="0"/>
        <charset val="1"/>
      </rPr>
      <t xml:space="preserve">4</t>
    </r>
    <r>
      <rPr>
        <sz val="10"/>
        <rFont val="WenQuanYi Zen Hei"/>
        <family val="2"/>
      </rPr>
      <t xml:space="preserve">、</t>
    </r>
    <r>
      <rPr>
        <sz val="10"/>
        <rFont val="Arial"/>
        <family val="0"/>
        <charset val="1"/>
      </rPr>
      <t xml:space="preserve">10</t>
    </r>
    <r>
      <rPr>
        <sz val="10"/>
        <rFont val="WenQuanYi Zen Hei"/>
        <family val="2"/>
      </rPr>
      <t xml:space="preserve">次，无同期探测点且作者未设阶段转换标准；另首</t>
    </r>
    <r>
      <rPr>
        <sz val="10"/>
        <rFont val="Arial"/>
        <family val="0"/>
        <charset val="1"/>
      </rPr>
      <t xml:space="preserve">3</t>
    </r>
    <r>
      <rPr>
        <sz val="10"/>
        <rFont val="WenQuanYi Zen Hei"/>
        <family val="2"/>
      </rPr>
      <t xml:space="preserve">次会话仅</t>
    </r>
    <r>
      <rPr>
        <sz val="10"/>
        <rFont val="Arial"/>
        <family val="0"/>
        <charset val="1"/>
      </rPr>
      <t xml:space="preserve">2</t>
    </r>
    <r>
      <rPr>
        <sz val="10"/>
        <rFont val="WenQuanYi Zen Hei"/>
        <family val="2"/>
      </rPr>
      <t xml:space="preserve">个探测点</t>
    </r>
  </si>
  <si>
    <r>
      <rPr>
        <sz val="10"/>
        <rFont val="Arial"/>
        <family val="0"/>
        <charset val="1"/>
      </rPr>
      <t xml:space="preserve">IOA 40%</t>
    </r>
    <r>
      <rPr>
        <sz val="10"/>
        <rFont val="WenQuanYi Zen Hei"/>
        <family val="2"/>
      </rPr>
      <t xml:space="preserve">，</t>
    </r>
    <r>
      <rPr>
        <sz val="10"/>
        <rFont val="Arial"/>
        <family val="0"/>
        <charset val="1"/>
      </rPr>
      <t xml:space="preserve">86–100%</t>
    </r>
  </si>
  <si>
    <r>
      <rPr>
        <sz val="10"/>
        <rFont val="Arial"/>
        <family val="0"/>
        <charset val="1"/>
      </rPr>
      <t xml:space="preserve">039-A </t>
    </r>
    <r>
      <rPr>
        <sz val="10"/>
        <rFont val="WenQuanYi Zen Hei"/>
        <family val="2"/>
      </rPr>
      <t xml:space="preserve">融合学前教育工作者通过远程医疗培训实施自然情境发展行为干预</t>
    </r>
  </si>
  <si>
    <r>
      <rPr>
        <sz val="10"/>
        <rFont val="WenQuanYi Zen Hei"/>
        <family val="2"/>
      </rPr>
      <t xml:space="preserve">多探测</t>
    </r>
    <r>
      <rPr>
        <sz val="10"/>
        <rFont val="Arial"/>
        <family val="0"/>
        <charset val="1"/>
      </rPr>
      <t xml:space="preserve">(</t>
    </r>
    <r>
      <rPr>
        <sz val="10"/>
        <rFont val="WenQuanYi Zen Hei"/>
        <family val="2"/>
      </rPr>
      <t xml:space="preserve">两组各</t>
    </r>
    <r>
      <rPr>
        <sz val="10"/>
        <rFont val="Arial"/>
        <family val="0"/>
        <charset val="1"/>
      </rPr>
      <t xml:space="preserve">3</t>
    </r>
    <r>
      <rPr>
        <sz val="10"/>
        <rFont val="WenQuanYi Zen Hei"/>
        <family val="2"/>
      </rPr>
      <t xml:space="preserve">对，共</t>
    </r>
    <r>
      <rPr>
        <sz val="10"/>
        <rFont val="Arial"/>
        <family val="0"/>
        <charset val="1"/>
      </rPr>
      <t xml:space="preserve">6</t>
    </r>
    <r>
      <rPr>
        <sz val="10"/>
        <rFont val="WenQuanYi Zen Hei"/>
        <family val="2"/>
      </rPr>
      <t xml:space="preserve">对</t>
    </r>
    <r>
      <rPr>
        <sz val="10"/>
        <rFont val="Arial"/>
        <family val="0"/>
        <charset val="1"/>
      </rPr>
      <t xml:space="preserve">)</t>
    </r>
  </si>
  <si>
    <r>
      <rPr>
        <sz val="10"/>
        <rFont val="WenQuanYi Zen Hei"/>
        <family val="2"/>
      </rPr>
      <t xml:space="preserve">干预前</t>
    </r>
    <r>
      <rPr>
        <sz val="10"/>
        <rFont val="Arial"/>
        <family val="0"/>
        <charset val="1"/>
      </rPr>
      <t xml:space="preserve">3</t>
    </r>
    <r>
      <rPr>
        <sz val="10"/>
        <rFont val="WenQuanYi Zen Hei"/>
        <family val="2"/>
      </rPr>
      <t xml:space="preserve">次会话内探测点不连续</t>
    </r>
    <r>
      <rPr>
        <sz val="10"/>
        <rFont val="Arial"/>
        <family val="0"/>
        <charset val="1"/>
      </rPr>
      <t xml:space="preserve">(</t>
    </r>
    <r>
      <rPr>
        <sz val="10"/>
        <rFont val="WenQuanYi Zen Hei"/>
        <family val="2"/>
      </rPr>
      <t xml:space="preserve">仅</t>
    </r>
    <r>
      <rPr>
        <sz val="10"/>
        <rFont val="Arial"/>
        <family val="0"/>
        <charset val="1"/>
      </rPr>
      <t xml:space="preserve">2</t>
    </r>
    <r>
      <rPr>
        <sz val="10"/>
        <rFont val="WenQuanYi Zen Hei"/>
        <family val="2"/>
      </rPr>
      <t xml:space="preserve">个</t>
    </r>
    <r>
      <rPr>
        <sz val="10"/>
        <rFont val="Arial"/>
        <family val="0"/>
        <charset val="1"/>
      </rPr>
      <t xml:space="preserve">)</t>
    </r>
  </si>
  <si>
    <t xml:space="preserve">同左</t>
  </si>
  <si>
    <r>
      <rPr>
        <sz val="10"/>
        <rFont val="WenQuanYi Zen Hei"/>
        <family val="2"/>
      </rPr>
      <t xml:space="preserve">强</t>
    </r>
    <r>
      <rPr>
        <sz val="10"/>
        <rFont val="Arial"/>
        <family val="0"/>
        <charset val="1"/>
      </rPr>
      <t xml:space="preserve">(</t>
    </r>
    <r>
      <rPr>
        <sz val="10"/>
        <rFont val="WenQuanYi Zen Hei"/>
        <family val="2"/>
      </rPr>
      <t xml:space="preserve">初判，儿童目标沟通</t>
    </r>
    <r>
      <rPr>
        <sz val="10"/>
        <rFont val="Arial"/>
        <family val="0"/>
        <charset val="1"/>
      </rPr>
      <t xml:space="preserve">)</t>
    </r>
  </si>
  <si>
    <r>
      <rPr>
        <sz val="10"/>
        <rFont val="Arial"/>
        <family val="0"/>
        <charset val="1"/>
      </rPr>
      <t xml:space="preserve">IOA</t>
    </r>
    <r>
      <rPr>
        <sz val="10"/>
        <rFont val="WenQuanYi Zen Hei"/>
        <family val="2"/>
      </rPr>
      <t xml:space="preserve">基线</t>
    </r>
    <r>
      <rPr>
        <sz val="10"/>
        <rFont val="Arial"/>
        <family val="0"/>
        <charset val="1"/>
      </rPr>
      <t xml:space="preserve">32%</t>
    </r>
    <r>
      <rPr>
        <sz val="10"/>
        <rFont val="WenQuanYi Zen Hei"/>
        <family val="2"/>
      </rPr>
      <t xml:space="preserve">、干预</t>
    </r>
    <r>
      <rPr>
        <sz val="10"/>
        <rFont val="Arial"/>
        <family val="0"/>
        <charset val="1"/>
      </rPr>
      <t xml:space="preserve">40%</t>
    </r>
    <r>
      <rPr>
        <sz val="10"/>
        <rFont val="WenQuanYi Zen Hei"/>
        <family val="2"/>
      </rPr>
      <t xml:space="preserve">，</t>
    </r>
    <r>
      <rPr>
        <sz val="10"/>
        <rFont val="Arial"/>
        <family val="0"/>
        <charset val="1"/>
      </rPr>
      <t xml:space="preserve">93–100%</t>
    </r>
  </si>
  <si>
    <r>
      <rPr>
        <b val="true"/>
        <sz val="10"/>
        <rFont val="Arial"/>
        <family val="0"/>
        <charset val="1"/>
      </rPr>
      <t xml:space="preserve">040-A </t>
    </r>
    <r>
      <rPr>
        <b val="true"/>
        <sz val="10"/>
        <rFont val="WenQuanYi Zen Hei"/>
        <family val="2"/>
      </rPr>
      <t xml:space="preserve">班级教师实施“社交站”干预以改善孤独症学生的言语发起与回应</t>
    </r>
  </si>
  <si>
    <r>
      <rPr>
        <sz val="10"/>
        <rFont val="WenQuanYi Zen Hei"/>
        <family val="2"/>
      </rPr>
      <t xml:space="preserve">多基线</t>
    </r>
    <r>
      <rPr>
        <sz val="10"/>
        <rFont val="Arial"/>
        <family val="0"/>
        <charset val="1"/>
      </rPr>
      <t xml:space="preserve">(5</t>
    </r>
    <r>
      <rPr>
        <sz val="10"/>
        <rFont val="WenQuanYi Zen Hei"/>
        <family val="2"/>
      </rPr>
      <t xml:space="preserve">人，按</t>
    </r>
    <r>
      <rPr>
        <sz val="10"/>
        <rFont val="Arial"/>
        <family val="0"/>
        <charset val="1"/>
      </rPr>
      <t xml:space="preserve">3</t>
    </r>
    <r>
      <rPr>
        <sz val="10"/>
        <rFont val="WenQuanYi Zen Hei"/>
        <family val="2"/>
      </rPr>
      <t xml:space="preserve">个班错开，</t>
    </r>
    <r>
      <rPr>
        <sz val="10"/>
        <rFont val="Arial"/>
        <family val="0"/>
        <charset val="1"/>
      </rPr>
      <t xml:space="preserve">3</t>
    </r>
    <r>
      <rPr>
        <sz val="10"/>
        <rFont val="WenQuanYi Zen Hei"/>
        <family val="2"/>
      </rPr>
      <t xml:space="preserve">个引入时间点</t>
    </r>
    <r>
      <rPr>
        <sz val="10"/>
        <rFont val="Arial"/>
        <family val="0"/>
        <charset val="1"/>
      </rPr>
      <t xml:space="preserve">)</t>
    </r>
  </si>
  <si>
    <r>
      <rPr>
        <sz val="10"/>
        <rFont val="WenQuanYi Zen Hei"/>
        <family val="2"/>
      </rPr>
      <t xml:space="preserve">第一个班</t>
    </r>
    <r>
      <rPr>
        <sz val="10"/>
        <rFont val="Arial"/>
        <family val="0"/>
        <charset val="1"/>
      </rPr>
      <t xml:space="preserve">(CR</t>
    </r>
    <r>
      <rPr>
        <sz val="10"/>
        <rFont val="WenQuanYi Zen Hei"/>
        <family val="2"/>
      </rPr>
      <t xml:space="preserve">、</t>
    </r>
    <r>
      <rPr>
        <sz val="10"/>
        <rFont val="Arial"/>
        <family val="0"/>
        <charset val="1"/>
      </rPr>
      <t xml:space="preserve">AK)</t>
    </r>
    <r>
      <rPr>
        <sz val="10"/>
        <rFont val="WenQuanYi Zen Hei"/>
        <family val="2"/>
      </rPr>
      <t xml:space="preserve">基线仅</t>
    </r>
    <r>
      <rPr>
        <sz val="10"/>
        <rFont val="Arial"/>
        <family val="0"/>
        <charset val="1"/>
      </rPr>
      <t xml:space="preserve">5</t>
    </r>
    <r>
      <rPr>
        <sz val="10"/>
        <rFont val="WenQuanYi Zen Hei"/>
        <family val="2"/>
      </rPr>
      <t xml:space="preserve">点</t>
    </r>
    <r>
      <rPr>
        <sz val="10"/>
        <rFont val="Arial"/>
        <family val="0"/>
        <charset val="1"/>
      </rPr>
      <t xml:space="preserve">(&lt;6)</t>
    </r>
    <r>
      <rPr>
        <sz val="10"/>
        <rFont val="WenQuanYi Zen Hei"/>
        <family val="2"/>
      </rPr>
      <t xml:space="preserve">，去掉多余层后仍凑不齐</t>
    </r>
    <r>
      <rPr>
        <sz val="10"/>
        <rFont val="Arial"/>
        <family val="0"/>
        <charset val="1"/>
      </rPr>
      <t xml:space="preserve">3</t>
    </r>
    <r>
      <rPr>
        <sz val="10"/>
        <rFont val="WenQuanYi Zen Hei"/>
        <family val="2"/>
      </rPr>
      <t xml:space="preserve">个不同引入时间点</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</si>
  <si>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CR</t>
    </r>
    <r>
      <rPr>
        <sz val="10"/>
        <rFont val="WenQuanYi Zen Hei"/>
        <family val="2"/>
      </rPr>
      <t xml:space="preserve">主动发起反而下降，</t>
    </r>
    <r>
      <rPr>
        <sz val="10"/>
        <rFont val="Arial"/>
        <family val="0"/>
        <charset val="1"/>
      </rPr>
      <t xml:space="preserve">AK</t>
    </r>
    <r>
      <rPr>
        <sz val="10"/>
        <rFont val="WenQuanYi Zen Hei"/>
        <family val="2"/>
      </rPr>
      <t xml:space="preserve">效果滞后</t>
    </r>
    <r>
      <rPr>
        <sz val="10"/>
        <rFont val="Arial"/>
        <family val="0"/>
        <charset val="1"/>
      </rPr>
      <t xml:space="preserve">)</t>
    </r>
  </si>
  <si>
    <r>
      <rPr>
        <sz val="10"/>
        <rFont val="Arial"/>
        <family val="0"/>
        <charset val="1"/>
      </rPr>
      <t xml:space="preserve">IOA≥20%</t>
    </r>
    <r>
      <rPr>
        <sz val="10"/>
        <rFont val="WenQuanYi Zen Hei"/>
        <family val="2"/>
      </rPr>
      <t xml:space="preserve">，</t>
    </r>
    <r>
      <rPr>
        <sz val="10"/>
        <rFont val="Arial"/>
        <family val="0"/>
        <charset val="1"/>
      </rPr>
      <t xml:space="preserve">Krippendorff α .98–.99</t>
    </r>
  </si>
  <si>
    <r>
      <rPr>
        <sz val="10"/>
        <rFont val="Arial"/>
        <family val="0"/>
        <charset val="1"/>
      </rPr>
      <t xml:space="preserve">041-A </t>
    </r>
    <r>
      <rPr>
        <sz val="10"/>
        <rFont val="WenQuanYi Zen Hei"/>
        <family val="2"/>
      </rPr>
      <t xml:space="preserve">社会故事对促进融合情境中伴有孤独症谱系障碍的聋及重听学生社会互动与参与的效果</t>
    </r>
  </si>
  <si>
    <r>
      <rPr>
        <sz val="10"/>
        <rFont val="WenQuanYi Zen Hei"/>
        <family val="2"/>
      </rPr>
      <t xml:space="preserve">非同时多基线</t>
    </r>
    <r>
      <rPr>
        <sz val="10"/>
        <rFont val="Arial"/>
        <family val="0"/>
        <charset val="1"/>
      </rPr>
      <t xml:space="preserve">(3</t>
    </r>
    <r>
      <rPr>
        <sz val="10"/>
        <rFont val="WenQuanYi Zen Hei"/>
        <family val="2"/>
      </rPr>
      <t xml:space="preserve">人</t>
    </r>
    <r>
      <rPr>
        <sz val="10"/>
        <rFont val="Arial"/>
        <family val="0"/>
        <charset val="1"/>
      </rPr>
      <t xml:space="preserve">)</t>
    </r>
  </si>
  <si>
    <r>
      <rPr>
        <sz val="10"/>
        <rFont val="WenQuanYi Zen Hei"/>
        <family val="2"/>
      </rPr>
      <t xml:space="preserve">作者自述为非同时多基线，</t>
    </r>
    <r>
      <rPr>
        <sz val="10"/>
        <rFont val="Arial"/>
        <family val="0"/>
        <charset val="1"/>
      </rPr>
      <t xml:space="preserve">3.0</t>
    </r>
    <r>
      <rPr>
        <sz val="10"/>
        <rFont val="WenQuanYi Zen Hei"/>
        <family val="2"/>
      </rPr>
      <t xml:space="preserve">认为缺乏同时性则等同于若干</t>
    </r>
    <r>
      <rPr>
        <sz val="10"/>
        <rFont val="Arial"/>
        <family val="0"/>
        <charset val="1"/>
      </rPr>
      <t xml:space="preserve">AB</t>
    </r>
    <r>
      <rPr>
        <sz val="10"/>
        <rFont val="WenQuanYi Zen Hei"/>
        <family val="2"/>
      </rPr>
      <t xml:space="preserve">设计</t>
    </r>
  </si>
  <si>
    <t xml:space="preserve">违反同时性要求</t>
  </si>
  <si>
    <r>
      <rPr>
        <sz val="10"/>
        <rFont val="Arial"/>
        <family val="0"/>
        <charset val="1"/>
      </rPr>
      <t xml:space="preserve">IOA</t>
    </r>
    <r>
      <rPr>
        <sz val="10"/>
        <rFont val="WenQuanYi Zen Hei"/>
        <family val="2"/>
      </rPr>
      <t xml:space="preserve">平均</t>
    </r>
    <r>
      <rPr>
        <sz val="10"/>
        <rFont val="Arial"/>
        <family val="0"/>
        <charset val="1"/>
      </rPr>
      <t xml:space="preserve">85%</t>
    </r>
    <r>
      <rPr>
        <sz val="10"/>
        <rFont val="WenQuanYi Zen Hei"/>
        <family val="2"/>
      </rPr>
      <t xml:space="preserve">；</t>
    </r>
    <r>
      <rPr>
        <sz val="10"/>
        <rFont val="Arial"/>
        <family val="0"/>
        <charset val="1"/>
      </rPr>
      <t xml:space="preserve">Rain</t>
    </r>
    <r>
      <rPr>
        <sz val="10"/>
        <rFont val="WenQuanYi Zen Hei"/>
        <family val="2"/>
      </rPr>
      <t xml:space="preserve">层无效果</t>
    </r>
  </si>
  <si>
    <r>
      <rPr>
        <sz val="10"/>
        <rFont val="Arial"/>
        <family val="0"/>
        <charset val="1"/>
      </rPr>
      <t xml:space="preserve">042-A </t>
    </r>
    <r>
      <rPr>
        <sz val="10"/>
        <rFont val="WenQuanYi Zen Hei"/>
        <family val="2"/>
      </rPr>
      <t xml:space="preserve">改善孤独症谱系障碍小学生的遵从行为</t>
    </r>
  </si>
  <si>
    <r>
      <rPr>
        <sz val="10"/>
        <rFont val="WenQuanYi Zen Hei"/>
        <family val="2"/>
      </rPr>
      <t xml:space="preserve">多基线跨</t>
    </r>
    <r>
      <rPr>
        <sz val="10"/>
        <rFont val="Arial"/>
        <family val="0"/>
        <charset val="1"/>
      </rPr>
      <t xml:space="preserve">3</t>
    </r>
    <r>
      <rPr>
        <sz val="10"/>
        <rFont val="WenQuanYi Zen Hei"/>
        <family val="2"/>
      </rPr>
      <t xml:space="preserve">种情境</t>
    </r>
    <r>
      <rPr>
        <sz val="10"/>
        <rFont val="Arial"/>
        <family val="0"/>
        <charset val="1"/>
      </rPr>
      <t xml:space="preserve">×2</t>
    </r>
    <r>
      <rPr>
        <sz val="10"/>
        <rFont val="WenQuanYi Zen Hei"/>
        <family val="2"/>
      </rPr>
      <t xml:space="preserve">人</t>
    </r>
    <r>
      <rPr>
        <sz val="10"/>
        <rFont val="Arial"/>
        <family val="0"/>
        <charset val="1"/>
      </rPr>
      <t xml:space="preserve">(</t>
    </r>
    <r>
      <rPr>
        <sz val="10"/>
        <rFont val="WenQuanYi Zen Hei"/>
        <family val="2"/>
      </rPr>
      <t xml:space="preserve">各自一组</t>
    </r>
    <r>
      <rPr>
        <sz val="10"/>
        <rFont val="Arial"/>
        <family val="0"/>
        <charset val="1"/>
      </rPr>
      <t xml:space="preserve">)</t>
    </r>
  </si>
  <si>
    <r>
      <rPr>
        <sz val="10"/>
        <rFont val="WenQuanYi Zen Hei"/>
        <family val="2"/>
      </rPr>
      <t xml:space="preserve">有保留</t>
    </r>
    <r>
      <rPr>
        <sz val="10"/>
        <rFont val="Arial"/>
        <family val="0"/>
        <charset val="1"/>
      </rPr>
      <t xml:space="preserve">(John)</t>
    </r>
  </si>
  <si>
    <r>
      <rPr>
        <sz val="10"/>
        <rFont val="Arial"/>
        <family val="0"/>
        <charset val="1"/>
      </rPr>
      <t xml:space="preserve">John</t>
    </r>
    <r>
      <rPr>
        <sz val="10"/>
        <rFont val="WenQuanYi Zen Hei"/>
        <family val="2"/>
      </rPr>
      <t xml:space="preserve">数学课干预期仅</t>
    </r>
    <r>
      <rPr>
        <sz val="10"/>
        <rFont val="Arial"/>
        <family val="0"/>
        <charset val="1"/>
      </rPr>
      <t xml:space="preserve">4</t>
    </r>
    <r>
      <rPr>
        <sz val="10"/>
        <rFont val="WenQuanYi Zen Hei"/>
        <family val="2"/>
      </rPr>
      <t xml:space="preserve">点；</t>
    </r>
    <r>
      <rPr>
        <sz val="10"/>
        <rFont val="Arial"/>
        <family val="0"/>
        <charset val="1"/>
      </rPr>
      <t xml:space="preserve">Sean</t>
    </r>
    <r>
      <rPr>
        <sz val="10"/>
        <rFont val="WenQuanYi Zen Hei"/>
        <family val="2"/>
      </rPr>
      <t xml:space="preserve">英语支持课干预期仅</t>
    </r>
    <r>
      <rPr>
        <sz val="10"/>
        <rFont val="Arial"/>
        <family val="0"/>
        <charset val="1"/>
      </rPr>
      <t xml:space="preserve">2</t>
    </r>
    <r>
      <rPr>
        <sz val="10"/>
        <rFont val="WenQuanYi Zen Hei"/>
        <family val="2"/>
      </rPr>
      <t xml:space="preserve">点→</t>
    </r>
    <r>
      <rPr>
        <sz val="10"/>
        <rFont val="Arial"/>
        <family val="0"/>
        <charset val="1"/>
      </rPr>
      <t xml:space="preserve">Sean</t>
    </r>
    <r>
      <rPr>
        <sz val="10"/>
        <rFont val="WenQuanYi Zen Hei"/>
        <family val="2"/>
      </rPr>
      <t xml:space="preserve">的设计不达标</t>
    </r>
  </si>
  <si>
    <r>
      <rPr>
        <sz val="10"/>
        <rFont val="Arial"/>
        <family val="0"/>
        <charset val="1"/>
      </rPr>
      <t xml:space="preserve">John</t>
    </r>
    <r>
      <rPr>
        <sz val="10"/>
        <rFont val="WenQuanYi Zen Hei"/>
        <family val="2"/>
      </rPr>
      <t xml:space="preserve">数学课干预</t>
    </r>
    <r>
      <rPr>
        <sz val="10"/>
        <rFont val="Arial"/>
        <family val="0"/>
        <charset val="1"/>
      </rPr>
      <t xml:space="preserve">4</t>
    </r>
    <r>
      <rPr>
        <sz val="10"/>
        <rFont val="WenQuanYi Zen Hei"/>
        <family val="2"/>
      </rPr>
      <t xml:space="preserve">点；</t>
    </r>
    <r>
      <rPr>
        <sz val="10"/>
        <rFont val="Arial"/>
        <family val="0"/>
        <charset val="1"/>
      </rPr>
      <t xml:space="preserve">Sean</t>
    </r>
    <r>
      <rPr>
        <sz val="10"/>
        <rFont val="WenQuanYi Zen Hei"/>
        <family val="2"/>
      </rPr>
      <t xml:space="preserve">同左不达标</t>
    </r>
  </si>
  <si>
    <r>
      <rPr>
        <sz val="10"/>
        <rFont val="WenQuanYi Zen Hei"/>
        <family val="2"/>
      </rPr>
      <t xml:space="preserve">中等</t>
    </r>
    <r>
      <rPr>
        <sz val="10"/>
        <rFont val="Arial"/>
        <family val="0"/>
        <charset val="1"/>
      </rPr>
      <t xml:space="preserve">(</t>
    </r>
    <r>
      <rPr>
        <sz val="10"/>
        <rFont val="WenQuanYi Zen Hei"/>
        <family val="2"/>
      </rPr>
      <t xml:space="preserve">初判；</t>
    </r>
    <r>
      <rPr>
        <sz val="10"/>
        <rFont val="Arial"/>
        <family val="0"/>
        <charset val="1"/>
      </rPr>
      <t xml:space="preserve">John</t>
    </r>
    <r>
      <rPr>
        <sz val="10"/>
        <rFont val="WenQuanYi Zen Hei"/>
        <family val="2"/>
      </rPr>
      <t xml:space="preserve">阅读课基线已较高，重叠多</t>
    </r>
    <r>
      <rPr>
        <sz val="10"/>
        <rFont val="Arial"/>
        <family val="0"/>
        <charset val="1"/>
      </rPr>
      <t xml:space="preserve">)</t>
    </r>
  </si>
  <si>
    <r>
      <rPr>
        <sz val="10"/>
        <rFont val="Arial"/>
        <family val="0"/>
        <charset val="1"/>
      </rPr>
      <t xml:space="preserve">IOA 22–33%</t>
    </r>
    <r>
      <rPr>
        <sz val="10"/>
        <rFont val="WenQuanYi Zen Hei"/>
        <family val="2"/>
      </rPr>
      <t xml:space="preserve">，</t>
    </r>
    <r>
      <rPr>
        <sz val="10"/>
        <rFont val="Arial"/>
        <family val="0"/>
        <charset val="1"/>
      </rPr>
      <t xml:space="preserve">86–99%</t>
    </r>
  </si>
  <si>
    <r>
      <rPr>
        <b val="true"/>
        <sz val="10"/>
        <rFont val="Arial"/>
        <family val="0"/>
        <charset val="1"/>
      </rPr>
      <t xml:space="preserve">043-A </t>
    </r>
    <r>
      <rPr>
        <b val="true"/>
        <sz val="10"/>
        <rFont val="WenQuanYi Zen Hei"/>
        <family val="2"/>
      </rPr>
      <t xml:space="preserve">专业发展改善中国一所融合幼儿园教师的嵌入式教学及儿童的学习成效</t>
    </r>
  </si>
  <si>
    <r>
      <rPr>
        <sz val="10"/>
        <rFont val="WenQuanYi Zen Hei"/>
        <family val="2"/>
      </rPr>
      <t xml:space="preserve">多基线</t>
    </r>
    <r>
      <rPr>
        <sz val="10"/>
        <rFont val="Arial"/>
        <family val="0"/>
        <charset val="1"/>
      </rPr>
      <t xml:space="preserve">(3</t>
    </r>
    <r>
      <rPr>
        <sz val="10"/>
        <rFont val="WenQuanYi Zen Hei"/>
        <family val="2"/>
      </rPr>
      <t xml:space="preserve">对教师–儿童</t>
    </r>
    <r>
      <rPr>
        <sz val="10"/>
        <rFont val="Arial"/>
        <family val="0"/>
        <charset val="1"/>
      </rPr>
      <t xml:space="preserve">)</t>
    </r>
  </si>
  <si>
    <r>
      <rPr>
        <sz val="10"/>
        <rFont val="Arial"/>
        <family val="0"/>
        <charset val="1"/>
      </rPr>
      <t xml:space="preserve">Andy</t>
    </r>
    <r>
      <rPr>
        <sz val="10"/>
        <rFont val="WenQuanYi Zen Hei"/>
        <family val="2"/>
      </rPr>
      <t xml:space="preserve">基线仅</t>
    </r>
    <r>
      <rPr>
        <sz val="10"/>
        <rFont val="Arial"/>
        <family val="0"/>
        <charset val="1"/>
      </rPr>
      <t xml:space="preserve">5</t>
    </r>
    <r>
      <rPr>
        <sz val="10"/>
        <rFont val="WenQuanYi Zen Hei"/>
        <family val="2"/>
      </rPr>
      <t xml:space="preserve">点</t>
    </r>
    <r>
      <rPr>
        <sz val="10"/>
        <rFont val="Arial"/>
        <family val="0"/>
        <charset val="1"/>
      </rPr>
      <t xml:space="preserve">(&lt;6)</t>
    </r>
  </si>
  <si>
    <r>
      <rPr>
        <sz val="10"/>
        <rFont val="WenQuanYi Zen Hei"/>
        <family val="2"/>
      </rPr>
      <t xml:space="preserve">中等</t>
    </r>
    <r>
      <rPr>
        <sz val="10"/>
        <rFont val="Arial"/>
        <family val="0"/>
        <charset val="1"/>
      </rPr>
      <t xml:space="preserve">(</t>
    </r>
    <r>
      <rPr>
        <sz val="10"/>
        <rFont val="WenQuanYi Zen Hei"/>
        <family val="2"/>
      </rPr>
      <t xml:space="preserve">初判，儿童正确反应重叠较多；教师执行忠诚度为强</t>
    </r>
    <r>
      <rPr>
        <sz val="10"/>
        <rFont val="Arial"/>
        <family val="0"/>
        <charset val="1"/>
      </rPr>
      <t xml:space="preserve">)</t>
    </r>
  </si>
  <si>
    <r>
      <rPr>
        <sz val="10"/>
        <rFont val="Arial"/>
        <family val="0"/>
        <charset val="1"/>
      </rPr>
      <t xml:space="preserve">IOA≥33%</t>
    </r>
    <r>
      <rPr>
        <sz val="10"/>
        <rFont val="WenQuanYi Zen Hei"/>
        <family val="2"/>
      </rPr>
      <t xml:space="preserve">，各阶段约</t>
    </r>
    <r>
      <rPr>
        <sz val="10"/>
        <rFont val="Arial"/>
        <family val="0"/>
        <charset val="1"/>
      </rPr>
      <t xml:space="preserve">84–100%</t>
    </r>
  </si>
  <si>
    <r>
      <rPr>
        <sz val="10"/>
        <rFont val="Arial"/>
        <family val="0"/>
        <charset val="1"/>
      </rPr>
      <t xml:space="preserve">044-A </t>
    </r>
    <r>
      <rPr>
        <sz val="10"/>
        <rFont val="WenQuanYi Zen Hei"/>
        <family val="2"/>
      </rPr>
      <t xml:space="preserve">通过同伴主导游戏开展的同伴网络干预对融合课堂中孤独症谱系障碍儿童基本社会沟通技能的影响</t>
    </r>
  </si>
  <si>
    <r>
      <rPr>
        <sz val="10"/>
        <rFont val="Arial"/>
        <family val="0"/>
        <charset val="1"/>
      </rPr>
      <t xml:space="preserve">—(IOA</t>
    </r>
    <r>
      <rPr>
        <sz val="10"/>
        <rFont val="WenQuanYi Zen Hei"/>
        <family val="2"/>
      </rPr>
      <t xml:space="preserve">随机抽</t>
    </r>
    <r>
      <rPr>
        <sz val="10"/>
        <rFont val="Arial"/>
        <family val="0"/>
        <charset val="1"/>
      </rPr>
      <t xml:space="preserve">20%</t>
    </r>
    <r>
      <rPr>
        <sz val="10"/>
        <rFont val="WenQuanYi Zen Hei"/>
        <family val="2"/>
      </rPr>
      <t xml:space="preserve">会话，未说明各阶段均有</t>
    </r>
    <r>
      <rPr>
        <sz val="10"/>
        <rFont val="Arial"/>
        <family val="0"/>
        <charset val="1"/>
      </rPr>
      <t xml:space="preserve">)</t>
    </r>
  </si>
  <si>
    <r>
      <rPr>
        <sz val="10"/>
        <rFont val="WenQuanYi Zen Hei"/>
        <family val="2"/>
      </rPr>
      <t xml:space="preserve">无保留</t>
    </r>
    <r>
      <rPr>
        <sz val="10"/>
        <rFont val="Arial"/>
        <family val="0"/>
        <charset val="1"/>
      </rPr>
      <t xml:space="preserve">(</t>
    </r>
    <r>
      <rPr>
        <sz val="10"/>
        <rFont val="WenQuanYi Zen Hei"/>
        <family val="2"/>
      </rPr>
      <t xml:space="preserve">初判，互动时长</t>
    </r>
    <r>
      <rPr>
        <sz val="10"/>
        <rFont val="Arial"/>
        <family val="0"/>
        <charset val="1"/>
      </rPr>
      <t xml:space="preserve">)</t>
    </r>
  </si>
  <si>
    <r>
      <rPr>
        <sz val="10"/>
        <rFont val="WenQuanYi Zen Hei"/>
        <family val="2"/>
      </rPr>
      <t xml:space="preserve">基线≥</t>
    </r>
    <r>
      <rPr>
        <sz val="10"/>
        <rFont val="Arial"/>
        <family val="0"/>
        <charset val="1"/>
      </rPr>
      <t xml:space="preserve">9</t>
    </r>
    <r>
      <rPr>
        <sz val="10"/>
        <rFont val="WenQuanYi Zen Hei"/>
        <family val="2"/>
      </rPr>
      <t xml:space="preserve">点；主动发起这一结局中</t>
    </r>
    <r>
      <rPr>
        <sz val="10"/>
        <rFont val="Arial"/>
        <family val="0"/>
        <charset val="1"/>
      </rPr>
      <t xml:space="preserve">Sam</t>
    </r>
    <r>
      <rPr>
        <sz val="10"/>
        <rFont val="WenQuanYi Zen Hei"/>
        <family val="2"/>
      </rPr>
      <t xml:space="preserve">基线有上升趋势</t>
    </r>
    <r>
      <rPr>
        <sz val="10"/>
        <rFont val="Arial"/>
        <family val="0"/>
        <charset val="1"/>
      </rPr>
      <t xml:space="preserve">(NAP≈.94)</t>
    </r>
    <r>
      <rPr>
        <sz val="10"/>
        <rFont val="WenQuanYi Zen Hei"/>
        <family val="2"/>
      </rPr>
      <t xml:space="preserve">，该结局仅有保留</t>
    </r>
  </si>
  <si>
    <r>
      <rPr>
        <sz val="10"/>
        <rFont val="WenQuanYi Zen Hei"/>
        <family val="2"/>
      </rPr>
      <t xml:space="preserve">强</t>
    </r>
    <r>
      <rPr>
        <sz val="10"/>
        <rFont val="Arial"/>
        <family val="0"/>
        <charset val="1"/>
      </rPr>
      <t xml:space="preserve">(</t>
    </r>
    <r>
      <rPr>
        <sz val="10"/>
        <rFont val="WenQuanYi Zen Hei"/>
        <family val="2"/>
      </rPr>
      <t xml:space="preserve">初判，社交互动时长</t>
    </r>
    <r>
      <rPr>
        <sz val="10"/>
        <rFont val="Arial"/>
        <family val="0"/>
        <charset val="1"/>
      </rPr>
      <t xml:space="preserve">)</t>
    </r>
  </si>
  <si>
    <r>
      <rPr>
        <sz val="10"/>
        <rFont val="Arial"/>
        <family val="0"/>
        <charset val="1"/>
      </rPr>
      <t xml:space="preserve">IOA 20%</t>
    </r>
    <r>
      <rPr>
        <sz val="10"/>
        <rFont val="WenQuanYi Zen Hei"/>
        <family val="2"/>
      </rPr>
      <t xml:space="preserve">会话，</t>
    </r>
    <r>
      <rPr>
        <sz val="10"/>
        <rFont val="Arial"/>
        <family val="0"/>
        <charset val="1"/>
      </rPr>
      <t xml:space="preserve">95–98%</t>
    </r>
  </si>
  <si>
    <r>
      <rPr>
        <sz val="10"/>
        <rFont val="Arial"/>
        <family val="0"/>
        <charset val="1"/>
      </rPr>
      <t xml:space="preserve">045-A </t>
    </r>
    <r>
      <rPr>
        <sz val="10"/>
        <rFont val="WenQuanYi Zen Hei"/>
        <family val="2"/>
      </rPr>
      <t xml:space="preserve">视频示范在教授孤独症谱系障碍儿童身体活动型合作游戏中的有效性</t>
    </r>
  </si>
  <si>
    <r>
      <rPr>
        <sz val="10"/>
        <rFont val="WenQuanYi Zen Hei"/>
        <family val="2"/>
      </rPr>
      <t xml:space="preserve">多探测</t>
    </r>
    <r>
      <rPr>
        <sz val="10"/>
        <rFont val="Arial"/>
        <family val="0"/>
        <charset val="1"/>
      </rPr>
      <t xml:space="preserve">(3</t>
    </r>
    <r>
      <rPr>
        <sz val="10"/>
        <rFont val="WenQuanYi Zen Hei"/>
        <family val="2"/>
      </rPr>
      <t xml:space="preserve">人</t>
    </r>
    <r>
      <rPr>
        <sz val="10"/>
        <rFont val="Arial"/>
        <family val="0"/>
        <charset val="1"/>
      </rPr>
      <t xml:space="preserve">×2</t>
    </r>
    <r>
      <rPr>
        <sz val="10"/>
        <rFont val="WenQuanYi Zen Hei"/>
        <family val="2"/>
      </rPr>
      <t xml:space="preserve">个游戏</t>
    </r>
    <r>
      <rPr>
        <sz val="10"/>
        <rFont val="Arial"/>
        <family val="0"/>
        <charset val="1"/>
      </rPr>
      <t xml:space="preserve">)</t>
    </r>
  </si>
  <si>
    <r>
      <rPr>
        <sz val="10"/>
        <rFont val="WenQuanYi Zen Hei"/>
        <family val="2"/>
      </rPr>
      <t xml:space="preserve">首</t>
    </r>
    <r>
      <rPr>
        <sz val="10"/>
        <rFont val="Arial"/>
        <family val="0"/>
        <charset val="1"/>
      </rPr>
      <t xml:space="preserve">3</t>
    </r>
    <r>
      <rPr>
        <sz val="10"/>
        <rFont val="WenQuanYi Zen Hei"/>
        <family val="2"/>
      </rPr>
      <t xml:space="preserve">次会话内</t>
    </r>
    <r>
      <rPr>
        <sz val="10"/>
        <rFont val="Arial"/>
        <family val="0"/>
        <charset val="1"/>
      </rPr>
      <t xml:space="preserve">İkra</t>
    </r>
    <r>
      <rPr>
        <sz val="10"/>
        <rFont val="WenQuanYi Zen Hei"/>
        <family val="2"/>
      </rPr>
      <t xml:space="preserve">、</t>
    </r>
    <r>
      <rPr>
        <sz val="10"/>
        <rFont val="Arial"/>
        <family val="0"/>
        <charset val="1"/>
      </rPr>
      <t xml:space="preserve">Sinan</t>
    </r>
    <r>
      <rPr>
        <sz val="10"/>
        <rFont val="WenQuanYi Zen Hei"/>
        <family val="2"/>
      </rPr>
      <t xml:space="preserve">无探测点</t>
    </r>
    <r>
      <rPr>
        <sz val="10"/>
        <rFont val="Arial"/>
        <family val="0"/>
        <charset val="1"/>
      </rPr>
      <t xml:space="preserve">(</t>
    </r>
    <r>
      <rPr>
        <sz val="10"/>
        <rFont val="WenQuanYi Zen Hei"/>
        <family val="2"/>
      </rPr>
      <t xml:space="preserve">首个探测在第</t>
    </r>
    <r>
      <rPr>
        <sz val="10"/>
        <rFont val="Arial"/>
        <family val="0"/>
        <charset val="1"/>
      </rPr>
      <t xml:space="preserve">11</t>
    </r>
    <r>
      <rPr>
        <sz val="10"/>
        <rFont val="WenQuanYi Zen Hei"/>
        <family val="2"/>
      </rPr>
      <t xml:space="preserve">、</t>
    </r>
    <r>
      <rPr>
        <sz val="10"/>
        <rFont val="Arial"/>
        <family val="0"/>
        <charset val="1"/>
      </rPr>
      <t xml:space="preserve">13</t>
    </r>
    <r>
      <rPr>
        <sz val="10"/>
        <rFont val="WenQuanYi Zen Hei"/>
        <family val="2"/>
      </rPr>
      <t xml:space="preserve">次</t>
    </r>
    <r>
      <rPr>
        <sz val="10"/>
        <rFont val="Arial"/>
        <family val="0"/>
        <charset val="1"/>
      </rPr>
      <t xml:space="preserve">)</t>
    </r>
  </si>
  <si>
    <r>
      <rPr>
        <sz val="10"/>
        <rFont val="WenQuanYi Zen Hei"/>
        <family val="2"/>
      </rPr>
      <t xml:space="preserve">首</t>
    </r>
    <r>
      <rPr>
        <sz val="10"/>
        <rFont val="Arial"/>
        <family val="0"/>
        <charset val="1"/>
      </rPr>
      <t xml:space="preserve">3</t>
    </r>
    <r>
      <rPr>
        <sz val="10"/>
        <rFont val="WenQuanYi Zen Hei"/>
        <family val="2"/>
      </rPr>
      <t xml:space="preserve">次会话无垂直重叠；</t>
    </r>
    <r>
      <rPr>
        <sz val="10"/>
        <rFont val="Arial"/>
        <family val="0"/>
        <charset val="1"/>
      </rPr>
      <t xml:space="preserve">Efe</t>
    </r>
    <r>
      <rPr>
        <sz val="10"/>
        <rFont val="WenQuanYi Zen Hei"/>
        <family val="2"/>
      </rPr>
      <t xml:space="preserve">进入干预时其他层尚无基线数据</t>
    </r>
    <r>
      <rPr>
        <sz val="10"/>
        <rFont val="Arial"/>
        <family val="0"/>
        <charset val="1"/>
      </rPr>
      <t xml:space="preserve">(</t>
    </r>
    <r>
      <rPr>
        <sz val="10"/>
        <rFont val="WenQuanYi Zen Hei"/>
        <family val="2"/>
      </rPr>
      <t xml:space="preserve">违反同时性</t>
    </r>
    <r>
      <rPr>
        <sz val="10"/>
        <rFont val="Arial"/>
        <family val="0"/>
        <charset val="1"/>
      </rPr>
      <t xml:space="preserve">)</t>
    </r>
  </si>
  <si>
    <r>
      <rPr>
        <sz val="10"/>
        <rFont val="Arial"/>
        <family val="0"/>
        <charset val="1"/>
      </rPr>
      <t xml:space="preserve">IOA 30%</t>
    </r>
    <r>
      <rPr>
        <sz val="10"/>
        <rFont val="WenQuanYi Zen Hei"/>
        <family val="2"/>
      </rPr>
      <t xml:space="preserve">各阶段，</t>
    </r>
    <r>
      <rPr>
        <sz val="10"/>
        <rFont val="Arial"/>
        <family val="0"/>
        <charset val="1"/>
      </rPr>
      <t xml:space="preserve">100%</t>
    </r>
  </si>
  <si>
    <r>
      <rPr>
        <b val="true"/>
        <sz val="10"/>
        <rFont val="Arial"/>
        <family val="0"/>
        <charset val="1"/>
      </rPr>
      <t xml:space="preserve">046-A </t>
    </r>
    <r>
      <rPr>
        <b val="true"/>
        <sz val="10"/>
        <rFont val="WenQuanYi Zen Hei"/>
        <family val="2"/>
      </rPr>
      <t xml:space="preserve">在课间休息时促进孤独症谱系障碍及相关社交困难儿童的社会学习</t>
    </r>
  </si>
  <si>
    <r>
      <rPr>
        <sz val="10"/>
        <rFont val="WenQuanYi Zen Hei"/>
        <family val="2"/>
      </rPr>
      <t xml:space="preserve">同时多基线</t>
    </r>
    <r>
      <rPr>
        <sz val="10"/>
        <rFont val="Arial"/>
        <family val="0"/>
        <charset val="1"/>
      </rPr>
      <t xml:space="preserve">(7</t>
    </r>
    <r>
      <rPr>
        <sz val="10"/>
        <rFont val="WenQuanYi Zen Hei"/>
        <family val="2"/>
      </rPr>
      <t xml:space="preserve">人，</t>
    </r>
    <r>
      <rPr>
        <sz val="10"/>
        <rFont val="Arial"/>
        <family val="0"/>
        <charset val="1"/>
      </rPr>
      <t xml:space="preserve">3</t>
    </r>
    <r>
      <rPr>
        <sz val="10"/>
        <rFont val="WenQuanYi Zen Hei"/>
        <family val="2"/>
      </rPr>
      <t xml:space="preserve">个引入时间点：第</t>
    </r>
    <r>
      <rPr>
        <sz val="10"/>
        <rFont val="Arial"/>
        <family val="0"/>
        <charset val="1"/>
      </rPr>
      <t xml:space="preserve">4</t>
    </r>
    <r>
      <rPr>
        <sz val="10"/>
        <rFont val="WenQuanYi Zen Hei"/>
        <family val="2"/>
      </rPr>
      <t xml:space="preserve">、</t>
    </r>
    <r>
      <rPr>
        <sz val="10"/>
        <rFont val="Arial"/>
        <family val="0"/>
        <charset val="1"/>
      </rPr>
      <t xml:space="preserve">12</t>
    </r>
    <r>
      <rPr>
        <sz val="10"/>
        <rFont val="WenQuanYi Zen Hei"/>
        <family val="2"/>
      </rPr>
      <t xml:space="preserve">、</t>
    </r>
    <r>
      <rPr>
        <sz val="10"/>
        <rFont val="Arial"/>
        <family val="0"/>
        <charset val="1"/>
      </rPr>
      <t xml:space="preserve">15</t>
    </r>
    <r>
      <rPr>
        <sz val="10"/>
        <rFont val="WenQuanYi Zen Hei"/>
        <family val="2"/>
      </rPr>
      <t xml:space="preserve">次</t>
    </r>
    <r>
      <rPr>
        <sz val="10"/>
        <rFont val="Arial"/>
        <family val="0"/>
        <charset val="1"/>
      </rPr>
      <t xml:space="preserve">)</t>
    </r>
  </si>
  <si>
    <r>
      <rPr>
        <sz val="10"/>
        <rFont val="WenQuanYi Zen Hei"/>
        <family val="2"/>
      </rPr>
      <t xml:space="preserve">第</t>
    </r>
    <r>
      <rPr>
        <sz val="10"/>
        <rFont val="Arial"/>
        <family val="0"/>
        <charset val="1"/>
      </rPr>
      <t xml:space="preserve">1</t>
    </r>
    <r>
      <rPr>
        <sz val="10"/>
        <rFont val="WenQuanYi Zen Hei"/>
        <family val="2"/>
      </rPr>
      <t xml:space="preserve">个引入时间点的被试</t>
    </r>
    <r>
      <rPr>
        <sz val="10"/>
        <rFont val="Arial"/>
        <family val="0"/>
        <charset val="1"/>
      </rPr>
      <t xml:space="preserve">1</t>
    </r>
    <r>
      <rPr>
        <sz val="10"/>
        <rFont val="WenQuanYi Zen Hei"/>
        <family val="2"/>
      </rPr>
      <t xml:space="preserve">、</t>
    </r>
    <r>
      <rPr>
        <sz val="10"/>
        <rFont val="Arial"/>
        <family val="0"/>
        <charset val="1"/>
      </rPr>
      <t xml:space="preserve">2</t>
    </r>
    <r>
      <rPr>
        <sz val="10"/>
        <rFont val="WenQuanYi Zen Hei"/>
        <family val="2"/>
      </rPr>
      <t xml:space="preserve">基线仅</t>
    </r>
    <r>
      <rPr>
        <sz val="10"/>
        <rFont val="Arial"/>
        <family val="0"/>
        <charset val="1"/>
      </rPr>
      <t xml:space="preserve">3</t>
    </r>
    <r>
      <rPr>
        <sz val="10"/>
        <rFont val="WenQuanYi Zen Hei"/>
        <family val="2"/>
      </rPr>
      <t xml:space="preserve">点</t>
    </r>
  </si>
  <si>
    <r>
      <rPr>
        <sz val="10"/>
        <rFont val="WenQuanYi Zen Hei"/>
        <family val="2"/>
      </rPr>
      <t xml:space="preserve">被试</t>
    </r>
    <r>
      <rPr>
        <sz val="10"/>
        <rFont val="Arial"/>
        <family val="0"/>
        <charset val="1"/>
      </rPr>
      <t xml:space="preserve">2</t>
    </r>
    <r>
      <rPr>
        <sz val="10"/>
        <rFont val="WenQuanYi Zen Hei"/>
        <family val="2"/>
      </rPr>
      <t xml:space="preserve">基线</t>
    </r>
    <r>
      <rPr>
        <sz val="10"/>
        <rFont val="Arial"/>
        <family val="0"/>
        <charset val="1"/>
      </rPr>
      <t xml:space="preserve">3</t>
    </r>
    <r>
      <rPr>
        <sz val="10"/>
        <rFont val="WenQuanYi Zen Hei"/>
        <family val="2"/>
      </rPr>
      <t xml:space="preserve">点且全为</t>
    </r>
    <r>
      <rPr>
        <sz val="10"/>
        <rFont val="Arial"/>
        <family val="0"/>
        <charset val="1"/>
      </rPr>
      <t xml:space="preserve">0(</t>
    </r>
    <r>
      <rPr>
        <sz val="10"/>
        <rFont val="WenQuanYi Zen Hei"/>
        <family val="2"/>
      </rPr>
      <t xml:space="preserve">零变异，可计入</t>
    </r>
    <r>
      <rPr>
        <sz val="10"/>
        <rFont val="Arial"/>
        <family val="0"/>
        <charset val="1"/>
      </rPr>
      <t xml:space="preserve">)</t>
    </r>
    <r>
      <rPr>
        <sz val="10"/>
        <rFont val="WenQuanYi Zen Hei"/>
        <family val="2"/>
      </rPr>
      <t xml:space="preserve">；被试</t>
    </r>
    <r>
      <rPr>
        <sz val="10"/>
        <rFont val="Arial"/>
        <family val="0"/>
        <charset val="1"/>
      </rPr>
      <t xml:space="preserve">3–7</t>
    </r>
    <r>
      <rPr>
        <sz val="10"/>
        <rFont val="WenQuanYi Zen Hei"/>
        <family val="2"/>
      </rPr>
      <t xml:space="preserve">基线≥</t>
    </r>
    <r>
      <rPr>
        <sz val="10"/>
        <rFont val="Arial"/>
        <family val="0"/>
        <charset val="1"/>
      </rPr>
      <t xml:space="preserve">6</t>
    </r>
    <r>
      <rPr>
        <sz val="10"/>
        <rFont val="WenQuanYi Zen Hei"/>
        <family val="2"/>
      </rPr>
      <t xml:space="preserve">点；去掉多余层后可满足无保留</t>
    </r>
  </si>
  <si>
    <r>
      <rPr>
        <sz val="10"/>
        <rFont val="Arial"/>
        <family val="0"/>
        <charset val="1"/>
      </rPr>
      <t xml:space="preserve">5.0</t>
    </r>
    <r>
      <rPr>
        <sz val="10"/>
        <rFont val="WenQuanYi Zen Hei"/>
        <family val="2"/>
      </rPr>
      <t xml:space="preserve">新增零变异例外</t>
    </r>
  </si>
  <si>
    <r>
      <rPr>
        <sz val="10"/>
        <rFont val="WenQuanYi Zen Hei"/>
        <family val="2"/>
      </rPr>
      <t xml:space="preserve">中等</t>
    </r>
    <r>
      <rPr>
        <sz val="10"/>
        <rFont val="Arial"/>
        <family val="0"/>
        <charset val="1"/>
      </rPr>
      <t xml:space="preserve">(</t>
    </r>
    <r>
      <rPr>
        <sz val="10"/>
        <rFont val="WenQuanYi Zen Hei"/>
        <family val="2"/>
      </rPr>
      <t xml:space="preserve">初判；被试</t>
    </r>
    <r>
      <rPr>
        <sz val="10"/>
        <rFont val="Arial"/>
        <family val="0"/>
        <charset val="1"/>
      </rPr>
      <t xml:space="preserve">3</t>
    </r>
    <r>
      <rPr>
        <sz val="10"/>
        <rFont val="WenQuanYi Zen Hei"/>
        <family val="2"/>
      </rPr>
      <t xml:space="preserve">、</t>
    </r>
    <r>
      <rPr>
        <sz val="10"/>
        <rFont val="Arial"/>
        <family val="0"/>
        <charset val="1"/>
      </rPr>
      <t xml:space="preserve">5</t>
    </r>
    <r>
      <rPr>
        <sz val="10"/>
        <rFont val="WenQuanYi Zen Hei"/>
        <family val="2"/>
      </rPr>
      <t xml:space="preserve">、</t>
    </r>
    <r>
      <rPr>
        <sz val="10"/>
        <rFont val="Arial"/>
        <family val="0"/>
        <charset val="1"/>
      </rPr>
      <t xml:space="preserve">6</t>
    </r>
    <r>
      <rPr>
        <sz val="10"/>
        <rFont val="WenQuanYi Zen Hei"/>
        <family val="2"/>
      </rPr>
      <t xml:space="preserve">基线波动大、重叠多</t>
    </r>
    <r>
      <rPr>
        <sz val="10"/>
        <rFont val="Arial"/>
        <family val="0"/>
        <charset val="1"/>
      </rPr>
      <t xml:space="preserve">)</t>
    </r>
  </si>
  <si>
    <r>
      <rPr>
        <sz val="10"/>
        <rFont val="WenQuanYi Zen Hei"/>
        <family val="2"/>
      </rPr>
      <t xml:space="preserve">仅部分被试为</t>
    </r>
    <r>
      <rPr>
        <sz val="10"/>
        <rFont val="Arial"/>
        <family val="0"/>
        <charset val="1"/>
      </rPr>
      <t xml:space="preserve">ASD</t>
    </r>
    <r>
      <rPr>
        <sz val="10"/>
        <rFont val="WenQuanYi Zen Hei"/>
        <family val="2"/>
      </rPr>
      <t xml:space="preserve">；</t>
    </r>
    <r>
      <rPr>
        <sz val="10"/>
        <rFont val="Arial"/>
        <family val="0"/>
        <charset val="1"/>
      </rPr>
      <t xml:space="preserve">IOA 32%(</t>
    </r>
    <r>
      <rPr>
        <sz val="10"/>
        <rFont val="WenQuanYi Zen Hei"/>
        <family val="2"/>
      </rPr>
      <t xml:space="preserve">基线</t>
    </r>
    <r>
      <rPr>
        <sz val="10"/>
        <rFont val="Arial"/>
        <family val="0"/>
        <charset val="1"/>
      </rPr>
      <t xml:space="preserve">30%/</t>
    </r>
    <r>
      <rPr>
        <sz val="10"/>
        <rFont val="WenQuanYi Zen Hei"/>
        <family val="2"/>
      </rPr>
      <t xml:space="preserve">干预</t>
    </r>
    <r>
      <rPr>
        <sz val="10"/>
        <rFont val="Arial"/>
        <family val="0"/>
        <charset val="1"/>
      </rPr>
      <t xml:space="preserve">33%)</t>
    </r>
    <r>
      <rPr>
        <sz val="10"/>
        <rFont val="WenQuanYi Zen Hei"/>
        <family val="2"/>
      </rPr>
      <t xml:space="preserve">，时长</t>
    </r>
    <r>
      <rPr>
        <sz val="10"/>
        <rFont val="Arial"/>
        <family val="0"/>
        <charset val="1"/>
      </rPr>
      <t xml:space="preserve">91.8%</t>
    </r>
    <r>
      <rPr>
        <sz val="10"/>
        <rFont val="WenQuanYi Zen Hei"/>
        <family val="2"/>
      </rPr>
      <t xml:space="preserve">、发起</t>
    </r>
    <r>
      <rPr>
        <sz val="10"/>
        <rFont val="Arial"/>
        <family val="0"/>
        <charset val="1"/>
      </rPr>
      <t xml:space="preserve">88.3%</t>
    </r>
  </si>
  <si>
    <r>
      <rPr>
        <sz val="10"/>
        <rFont val="WenQuanYi Zen Hei"/>
        <family val="2"/>
      </rPr>
      <t xml:space="preserve">户秀美</t>
    </r>
    <r>
      <rPr>
        <sz val="10"/>
        <rFont val="Arial"/>
        <family val="0"/>
        <charset val="1"/>
      </rPr>
      <t xml:space="preserve">2025 </t>
    </r>
    <r>
      <rPr>
        <sz val="10"/>
        <rFont val="WenQuanYi Zen Hei"/>
        <family val="2"/>
      </rPr>
      <t xml:space="preserve">低年级随班就读孤独症儿童发散性思维的干预研究（中文）</t>
    </r>
  </si>
  <si>
    <r>
      <rPr>
        <sz val="10"/>
        <rFont val="WenQuanYi Zen Hei"/>
        <family val="2"/>
      </rPr>
      <t xml:space="preserve">多探测跨</t>
    </r>
    <r>
      <rPr>
        <sz val="10"/>
        <rFont val="Arial"/>
        <family val="0"/>
        <charset val="1"/>
      </rPr>
      <t xml:space="preserve">3</t>
    </r>
    <r>
      <rPr>
        <sz val="10"/>
        <rFont val="WenQuanYi Zen Hei"/>
        <family val="2"/>
      </rPr>
      <t xml:space="preserve">个主题</t>
    </r>
    <r>
      <rPr>
        <sz val="10"/>
        <rFont val="Arial"/>
        <family val="0"/>
        <charset val="1"/>
      </rPr>
      <t xml:space="preserve">(3</t>
    </r>
    <r>
      <rPr>
        <sz val="10"/>
        <rFont val="WenQuanYi Zen Hei"/>
        <family val="2"/>
      </rPr>
      <t xml:space="preserve">人各一组</t>
    </r>
    <r>
      <rPr>
        <sz val="10"/>
        <rFont val="Arial"/>
        <family val="0"/>
        <charset val="1"/>
      </rPr>
      <t xml:space="preserve">)</t>
    </r>
  </si>
  <si>
    <r>
      <rPr>
        <sz val="10"/>
        <rFont val="WenQuanYi Zen Hei"/>
        <family val="2"/>
      </rPr>
      <t xml:space="preserve">首</t>
    </r>
    <r>
      <rPr>
        <sz val="10"/>
        <rFont val="Arial"/>
        <family val="0"/>
        <charset val="1"/>
      </rPr>
      <t xml:space="preserve">3</t>
    </r>
    <r>
      <rPr>
        <sz val="10"/>
        <rFont val="WenQuanYi Zen Hei"/>
        <family val="2"/>
      </rPr>
      <t xml:space="preserve">次会话内各层非连续</t>
    </r>
    <r>
      <rPr>
        <sz val="10"/>
        <rFont val="Arial"/>
        <family val="0"/>
        <charset val="1"/>
      </rPr>
      <t xml:space="preserve">3</t>
    </r>
    <r>
      <rPr>
        <sz val="10"/>
        <rFont val="WenQuanYi Zen Hei"/>
        <family val="2"/>
      </rPr>
      <t xml:space="preserve">个探测点；食物主题第一干预期仅</t>
    </r>
    <r>
      <rPr>
        <sz val="10"/>
        <rFont val="Arial"/>
        <family val="0"/>
        <charset val="1"/>
      </rPr>
      <t xml:space="preserve">4</t>
    </r>
    <r>
      <rPr>
        <sz val="10"/>
        <rFont val="WenQuanYi Zen Hei"/>
        <family val="2"/>
      </rPr>
      <t xml:space="preserve">点</t>
    </r>
  </si>
  <si>
    <r>
      <rPr>
        <sz val="10"/>
        <rFont val="WenQuanYi Zen Hei"/>
        <family val="2"/>
      </rPr>
      <t xml:space="preserve">首</t>
    </r>
    <r>
      <rPr>
        <sz val="10"/>
        <rFont val="Arial"/>
        <family val="0"/>
        <charset val="1"/>
      </rPr>
      <t xml:space="preserve">3</t>
    </r>
    <r>
      <rPr>
        <sz val="10"/>
        <rFont val="WenQuanYi Zen Hei"/>
        <family val="2"/>
      </rPr>
      <t xml:space="preserve">次会话非连续</t>
    </r>
    <r>
      <rPr>
        <sz val="10"/>
        <rFont val="Arial"/>
        <family val="0"/>
        <charset val="1"/>
      </rPr>
      <t xml:space="preserve">3</t>
    </r>
    <r>
      <rPr>
        <sz val="10"/>
        <rFont val="WenQuanYi Zen Hei"/>
        <family val="2"/>
      </rPr>
      <t xml:space="preserve">个探测点</t>
    </r>
  </si>
  <si>
    <r>
      <rPr>
        <sz val="10"/>
        <rFont val="WenQuanYi Zen Hei"/>
        <family val="2"/>
      </rPr>
      <t xml:space="preserve">中等</t>
    </r>
    <r>
      <rPr>
        <sz val="10"/>
        <rFont val="Arial"/>
        <family val="0"/>
        <charset val="1"/>
      </rPr>
      <t xml:space="preserve">(</t>
    </r>
    <r>
      <rPr>
        <sz val="10"/>
        <rFont val="WenQuanYi Zen Hei"/>
        <family val="2"/>
      </rPr>
      <t xml:space="preserve">初判；先备技能</t>
    </r>
    <r>
      <rPr>
        <sz val="10"/>
        <rFont val="Arial"/>
        <family val="0"/>
        <charset val="1"/>
      </rPr>
      <t xml:space="preserve">/</t>
    </r>
    <r>
      <rPr>
        <sz val="10"/>
        <rFont val="WenQuanYi Zen Hei"/>
        <family val="2"/>
      </rPr>
      <t xml:space="preserve">框架教学阶段变化小，效果主要出现在辅助阶段</t>
    </r>
    <r>
      <rPr>
        <sz val="10"/>
        <rFont val="Arial"/>
        <family val="0"/>
        <charset val="1"/>
      </rPr>
      <t xml:space="preserve">)</t>
    </r>
  </si>
  <si>
    <r>
      <rPr>
        <sz val="10"/>
        <rFont val="Arial"/>
        <family val="0"/>
        <charset val="1"/>
      </rPr>
      <t xml:space="preserve">IOA</t>
    </r>
    <r>
      <rPr>
        <sz val="10"/>
        <rFont val="WenQuanYi Zen Hei"/>
        <family val="2"/>
      </rPr>
      <t xml:space="preserve">各类别</t>
    </r>
    <r>
      <rPr>
        <sz val="10"/>
        <rFont val="Arial"/>
        <family val="0"/>
        <charset val="1"/>
      </rPr>
      <t xml:space="preserve">35%</t>
    </r>
    <r>
      <rPr>
        <sz val="10"/>
        <rFont val="WenQuanYi Zen Hei"/>
        <family val="2"/>
      </rPr>
      <t xml:space="preserve">视频，</t>
    </r>
    <r>
      <rPr>
        <sz val="10"/>
        <rFont val="Arial"/>
        <family val="0"/>
        <charset val="1"/>
      </rPr>
      <t xml:space="preserve">97.5–99.3%</t>
    </r>
    <r>
      <rPr>
        <sz val="10"/>
        <rFont val="WenQuanYi Zen Hei"/>
        <family val="2"/>
      </rPr>
      <t xml:space="preserve">；作者自称按</t>
    </r>
    <r>
      <rPr>
        <sz val="10"/>
        <rFont val="Arial"/>
        <family val="0"/>
        <charset val="1"/>
      </rPr>
      <t xml:space="preserve">5.0</t>
    </r>
    <r>
      <rPr>
        <sz val="10"/>
        <rFont val="WenQuanYi Zen Hei"/>
        <family val="2"/>
      </rPr>
      <t xml:space="preserve">设计</t>
    </r>
  </si>
  <si>
    <r>
      <rPr>
        <sz val="10"/>
        <rFont val="WenQuanYi Zen Hei"/>
        <family val="2"/>
      </rPr>
      <t xml:space="preserve">张晓敏</t>
    </r>
    <r>
      <rPr>
        <sz val="10"/>
        <rFont val="Arial"/>
        <family val="0"/>
        <charset val="1"/>
      </rPr>
      <t xml:space="preserve">2026 </t>
    </r>
    <r>
      <rPr>
        <sz val="10"/>
        <rFont val="WenQuanYi Zen Hei"/>
        <family val="2"/>
      </rPr>
      <t xml:space="preserve">融合教育环境中人际同步音乐活动促进孤独症幼儿社会交往的干预研究（中文）</t>
    </r>
  </si>
  <si>
    <r>
      <rPr>
        <sz val="10"/>
        <rFont val="WenQuanYi Zen Hei"/>
        <family val="2"/>
      </rPr>
      <t xml:space="preserve">跨被试多探测</t>
    </r>
    <r>
      <rPr>
        <sz val="10"/>
        <rFont val="Arial"/>
        <family val="0"/>
        <charset val="1"/>
      </rPr>
      <t xml:space="preserve">(3</t>
    </r>
    <r>
      <rPr>
        <sz val="10"/>
        <rFont val="WenQuanYi Zen Hei"/>
        <family val="2"/>
      </rPr>
      <t xml:space="preserve">人，实际每次均测</t>
    </r>
    <r>
      <rPr>
        <sz val="10"/>
        <rFont val="Arial"/>
        <family val="0"/>
        <charset val="1"/>
      </rPr>
      <t xml:space="preserve">)</t>
    </r>
  </si>
  <si>
    <r>
      <rPr>
        <sz val="10"/>
        <rFont val="WenQuanYi Zen Hei"/>
        <family val="2"/>
      </rPr>
      <t xml:space="preserve">小宇基线仅</t>
    </r>
    <r>
      <rPr>
        <sz val="10"/>
        <rFont val="Arial"/>
        <family val="0"/>
        <charset val="1"/>
      </rPr>
      <t xml:space="preserve">3</t>
    </r>
    <r>
      <rPr>
        <sz val="10"/>
        <rFont val="WenQuanYi Zen Hei"/>
        <family val="2"/>
      </rPr>
      <t xml:space="preserve">点</t>
    </r>
  </si>
  <si>
    <r>
      <rPr>
        <sz val="10"/>
        <rFont val="WenQuanYi Zen Hei"/>
        <family val="2"/>
      </rPr>
      <t xml:space="preserve">小宇基线</t>
    </r>
    <r>
      <rPr>
        <sz val="10"/>
        <rFont val="Arial"/>
        <family val="0"/>
        <charset val="1"/>
      </rPr>
      <t xml:space="preserve">3</t>
    </r>
    <r>
      <rPr>
        <sz val="10"/>
        <rFont val="WenQuanYi Zen Hei"/>
        <family val="2"/>
      </rPr>
      <t xml:space="preserve">点</t>
    </r>
    <r>
      <rPr>
        <sz val="10"/>
        <rFont val="Arial"/>
        <family val="0"/>
        <charset val="1"/>
      </rPr>
      <t xml:space="preserve">(&lt;6</t>
    </r>
    <r>
      <rPr>
        <sz val="10"/>
        <rFont val="WenQuanYi Zen Hei"/>
        <family val="2"/>
      </rPr>
      <t xml:space="preserve">且非零变异</t>
    </r>
    <r>
      <rPr>
        <sz val="10"/>
        <rFont val="Arial"/>
        <family val="0"/>
        <charset val="1"/>
      </rPr>
      <t xml:space="preserve">)</t>
    </r>
  </si>
  <si>
    <r>
      <rPr>
        <sz val="10"/>
        <rFont val="Arial"/>
        <family val="0"/>
        <charset val="1"/>
      </rPr>
      <t xml:space="preserve">IOA</t>
    </r>
    <r>
      <rPr>
        <sz val="10"/>
        <rFont val="WenQuanYi Zen Hei"/>
        <family val="2"/>
      </rPr>
      <t xml:space="preserve">基线</t>
    </r>
    <r>
      <rPr>
        <sz val="10"/>
        <rFont val="Arial"/>
        <family val="0"/>
        <charset val="1"/>
      </rPr>
      <t xml:space="preserve">/</t>
    </r>
    <r>
      <rPr>
        <sz val="10"/>
        <rFont val="WenQuanYi Zen Hei"/>
        <family val="2"/>
      </rPr>
      <t xml:space="preserve">干预</t>
    </r>
    <r>
      <rPr>
        <sz val="10"/>
        <rFont val="Arial"/>
        <family val="0"/>
        <charset val="1"/>
      </rPr>
      <t xml:space="preserve">/</t>
    </r>
    <r>
      <rPr>
        <sz val="10"/>
        <rFont val="WenQuanYi Zen Hei"/>
        <family val="2"/>
      </rPr>
      <t xml:space="preserve">维持各</t>
    </r>
    <r>
      <rPr>
        <sz val="10"/>
        <rFont val="Arial"/>
        <family val="0"/>
        <charset val="1"/>
      </rPr>
      <t xml:space="preserve">30%</t>
    </r>
    <r>
      <rPr>
        <sz val="10"/>
        <rFont val="WenQuanYi Zen Hei"/>
        <family val="2"/>
      </rPr>
      <t xml:space="preserve">，</t>
    </r>
    <r>
      <rPr>
        <sz val="10"/>
        <rFont val="Arial"/>
        <family val="0"/>
        <charset val="1"/>
      </rPr>
      <t xml:space="preserve">95–98%</t>
    </r>
  </si>
  <si>
    <r>
      <rPr>
        <b val="true"/>
        <sz val="10"/>
        <color rgb="FFFFFFFF"/>
        <rFont val="WenQuanYi Zen Hei"/>
        <family val="2"/>
      </rPr>
      <t xml:space="preserve">类别（宽松</t>
    </r>
    <r>
      <rPr>
        <b val="true"/>
        <sz val="10"/>
        <color rgb="FFFFFFFF"/>
        <rFont val="Arial"/>
        <family val="0"/>
        <charset val="1"/>
      </rPr>
      <t xml:space="preserve">/</t>
    </r>
    <r>
      <rPr>
        <b val="true"/>
        <sz val="10"/>
        <color rgb="FFFFFFFF"/>
        <rFont val="WenQuanYi Zen Hei"/>
        <family val="2"/>
      </rPr>
      <t xml:space="preserve">乐观流失边界）</t>
    </r>
  </si>
  <si>
    <r>
      <rPr>
        <b val="true"/>
        <sz val="10"/>
        <color rgb="FFFFFFFF"/>
        <rFont val="WenQuanYi Zen Hei"/>
        <family val="2"/>
      </rPr>
      <t xml:space="preserve">类别（保守</t>
    </r>
    <r>
      <rPr>
        <b val="true"/>
        <sz val="10"/>
        <color rgb="FFFFFFFF"/>
        <rFont val="Arial"/>
        <family val="0"/>
        <charset val="1"/>
      </rPr>
      <t xml:space="preserve">/</t>
    </r>
    <r>
      <rPr>
        <b val="true"/>
        <sz val="10"/>
        <color rgb="FFFFFFFF"/>
        <rFont val="WenQuanYi Zen Hei"/>
        <family val="2"/>
      </rPr>
      <t xml:space="preserve">谨慎流失边界）</t>
    </r>
  </si>
  <si>
    <r>
      <rPr>
        <sz val="10"/>
        <rFont val="Arial"/>
        <family val="0"/>
        <charset val="1"/>
      </rPr>
      <t xml:space="preserve">001-B </t>
    </r>
    <r>
      <rPr>
        <sz val="10"/>
        <rFont val="WenQuanYi Zen Hei"/>
        <family val="2"/>
      </rPr>
      <t xml:space="preserve">实施支持对公立学校孤独症儿童社会参与干预应用的影响</t>
    </r>
  </si>
  <si>
    <r>
      <rPr>
        <sz val="10"/>
        <rFont val="WenQuanYi Zen Hei"/>
        <family val="2"/>
      </rPr>
      <t xml:space="preserve">整群</t>
    </r>
    <r>
      <rPr>
        <sz val="10"/>
        <rFont val="Arial"/>
        <family val="0"/>
        <charset val="1"/>
      </rPr>
      <t xml:space="preserve">RCT(12</t>
    </r>
    <r>
      <rPr>
        <sz val="10"/>
        <rFont val="WenQuanYi Zen Hei"/>
        <family val="2"/>
      </rPr>
      <t xml:space="preserve">所学校；</t>
    </r>
    <r>
      <rPr>
        <sz val="10"/>
        <rFont val="Arial"/>
        <family val="0"/>
        <charset val="1"/>
      </rPr>
      <t xml:space="preserve">RR</t>
    </r>
    <r>
      <rPr>
        <sz val="10"/>
        <rFont val="WenQuanYi Zen Hei"/>
        <family val="2"/>
      </rPr>
      <t xml:space="preserve">培训 </t>
    </r>
    <r>
      <rPr>
        <sz val="10"/>
        <rFont val="Arial"/>
        <family val="0"/>
        <charset val="1"/>
      </rPr>
      <t xml:space="preserve">vs RR</t>
    </r>
    <r>
      <rPr>
        <sz val="10"/>
        <rFont val="WenQuanYi Zen Hei"/>
        <family val="2"/>
      </rPr>
      <t xml:space="preserve">培训</t>
    </r>
    <r>
      <rPr>
        <sz val="10"/>
        <rFont val="Arial"/>
        <family val="0"/>
        <charset val="1"/>
      </rPr>
      <t xml:space="preserve">+</t>
    </r>
    <r>
      <rPr>
        <sz val="10"/>
        <rFont val="WenQuanYi Zen Hei"/>
        <family val="2"/>
      </rPr>
      <t xml:space="preserve">实施支持</t>
    </r>
    <r>
      <rPr>
        <sz val="10"/>
        <rFont val="Arial"/>
        <family val="0"/>
        <charset val="1"/>
      </rPr>
      <t xml:space="preserve">)</t>
    </r>
  </si>
  <si>
    <r>
      <rPr>
        <sz val="10"/>
        <rFont val="WenQuanYi Zen Hei"/>
        <family val="2"/>
      </rPr>
      <t xml:space="preserve">两组都接受</t>
    </r>
    <r>
      <rPr>
        <sz val="10"/>
        <rFont val="Arial"/>
        <family val="0"/>
        <charset val="1"/>
      </rPr>
      <t xml:space="preserve">RR</t>
    </r>
    <r>
      <rPr>
        <sz val="10"/>
        <rFont val="WenQuanYi Zen Hei"/>
        <family val="2"/>
      </rPr>
      <t xml:space="preserve">，对比的是</t>
    </r>
    <r>
      <rPr>
        <sz val="10"/>
        <rFont val="Arial"/>
        <family val="0"/>
        <charset val="1"/>
      </rPr>
      <t xml:space="preserve">"</t>
    </r>
    <r>
      <rPr>
        <sz val="10"/>
        <rFont val="WenQuanYi Zen Hei"/>
        <family val="2"/>
      </rPr>
      <t xml:space="preserve">实施支持</t>
    </r>
    <r>
      <rPr>
        <sz val="10"/>
        <rFont val="Arial"/>
        <family val="0"/>
        <charset val="1"/>
      </rPr>
      <t xml:space="preserve">"</t>
    </r>
    <r>
      <rPr>
        <sz val="10"/>
        <rFont val="WenQuanYi Zen Hei"/>
        <family val="2"/>
      </rPr>
      <t xml:space="preserve">本身，不是干预</t>
    </r>
    <r>
      <rPr>
        <sz val="10"/>
        <rFont val="Arial"/>
        <family val="0"/>
        <charset val="1"/>
      </rPr>
      <t xml:space="preserve">vs</t>
    </r>
    <r>
      <rPr>
        <sz val="10"/>
        <rFont val="WenQuanYi Zen Hei"/>
        <family val="2"/>
      </rPr>
      <t xml:space="preserve">无干预；儿童在学校随机化前已招募，流失极少</t>
    </r>
    <r>
      <rPr>
        <sz val="10"/>
        <rFont val="Arial"/>
        <family val="0"/>
        <charset val="1"/>
      </rPr>
      <t xml:space="preserve">(</t>
    </r>
    <r>
      <rPr>
        <sz val="10"/>
        <rFont val="WenQuanYi Zen Hei"/>
        <family val="2"/>
      </rPr>
      <t xml:space="preserve">仅</t>
    </r>
    <r>
      <rPr>
        <sz val="10"/>
        <rFont val="Arial"/>
        <family val="0"/>
        <charset val="1"/>
      </rPr>
      <t xml:space="preserve">1</t>
    </r>
    <r>
      <rPr>
        <sz val="10"/>
        <rFont val="WenQuanYi Zen Hei"/>
        <family val="2"/>
      </rPr>
      <t xml:space="preserve">人搬走</t>
    </r>
    <r>
      <rPr>
        <sz val="10"/>
        <rFont val="Arial"/>
        <family val="0"/>
        <charset val="1"/>
      </rPr>
      <t xml:space="preserve">)</t>
    </r>
  </si>
  <si>
    <r>
      <rPr>
        <sz val="10"/>
        <rFont val="Arial"/>
        <family val="0"/>
        <charset val="1"/>
      </rPr>
      <t xml:space="preserve">002-B </t>
    </r>
    <r>
      <rPr>
        <sz val="10"/>
        <rFont val="WenQuanYi Zen Hei"/>
        <family val="2"/>
      </rPr>
      <t xml:space="preserve">孤独症谱系障碍青少年与校内社交技能小组：比较干预环境和同伴构成的随机试验</t>
    </r>
  </si>
  <si>
    <r>
      <rPr>
        <sz val="10"/>
        <rFont val="WenQuanYi Zen Hei"/>
        <family val="2"/>
      </rPr>
      <t xml:space="preserve">个体</t>
    </r>
    <r>
      <rPr>
        <sz val="10"/>
        <rFont val="Arial"/>
        <family val="0"/>
        <charset val="1"/>
      </rPr>
      <t xml:space="preserve">RCT(70</t>
    </r>
    <r>
      <rPr>
        <sz val="10"/>
        <rFont val="WenQuanYi Zen Hei"/>
        <family val="2"/>
      </rPr>
      <t xml:space="preserve">人；社交技能组 </t>
    </r>
    <r>
      <rPr>
        <sz val="10"/>
        <rFont val="Arial"/>
        <family val="0"/>
        <charset val="1"/>
      </rPr>
      <t xml:space="preserve">vs </t>
    </r>
    <r>
      <rPr>
        <sz val="10"/>
        <rFont val="WenQuanYi Zen Hei"/>
        <family val="2"/>
      </rPr>
      <t xml:space="preserve">参与组</t>
    </r>
    <r>
      <rPr>
        <sz val="10"/>
        <rFont val="Arial"/>
        <family val="0"/>
        <charset val="1"/>
      </rPr>
      <t xml:space="preserve">)</t>
    </r>
  </si>
  <si>
    <t xml:space="preserve">宽松边界：无保留；保守边界：不达标</t>
  </si>
  <si>
    <r>
      <rPr>
        <sz val="10"/>
        <rFont val="WenQuanYi Zen Hei"/>
        <family val="2"/>
      </rPr>
      <t xml:space="preserve">总流失</t>
    </r>
    <r>
      <rPr>
        <sz val="10"/>
        <rFont val="Arial"/>
        <family val="0"/>
        <charset val="1"/>
      </rPr>
      <t xml:space="preserve">11.4%</t>
    </r>
    <r>
      <rPr>
        <sz val="10"/>
        <rFont val="WenQuanYi Zen Hei"/>
        <family val="2"/>
      </rPr>
      <t xml:space="preserve">、差异流失</t>
    </r>
    <r>
      <rPr>
        <sz val="10"/>
        <rFont val="Arial"/>
        <family val="0"/>
        <charset val="1"/>
      </rPr>
      <t xml:space="preserve">9.5%(</t>
    </r>
    <r>
      <rPr>
        <sz val="10"/>
        <rFont val="WenQuanYi Zen Hei"/>
        <family val="2"/>
      </rPr>
      <t xml:space="preserve">参与组</t>
    </r>
    <r>
      <rPr>
        <sz val="10"/>
        <rFont val="Arial"/>
        <family val="0"/>
        <charset val="1"/>
      </rPr>
      <t xml:space="preserve">6/38</t>
    </r>
    <r>
      <rPr>
        <sz val="10"/>
        <rFont val="WenQuanYi Zen Hei"/>
        <family val="2"/>
      </rPr>
      <t xml:space="preserve">，技能组</t>
    </r>
    <r>
      <rPr>
        <sz val="10"/>
        <rFont val="Arial"/>
        <family val="0"/>
        <charset val="1"/>
      </rPr>
      <t xml:space="preserve">2/32)</t>
    </r>
    <r>
      <rPr>
        <sz val="10"/>
        <rFont val="WenQuanYi Zen Hei"/>
        <family val="2"/>
      </rPr>
      <t xml:space="preserve">；保守边界下属高流失，且未以效应量形式报告分析样本基线等同</t>
    </r>
  </si>
  <si>
    <r>
      <rPr>
        <sz val="10"/>
        <rFont val="WenQuanYi Zen Hei"/>
        <family val="2"/>
      </rPr>
      <t xml:space="preserve">乐观边界：无保留；谨慎边界</t>
    </r>
    <r>
      <rPr>
        <sz val="10"/>
        <rFont val="Arial"/>
        <family val="0"/>
        <charset val="1"/>
      </rPr>
      <t xml:space="preserve">(</t>
    </r>
    <r>
      <rPr>
        <sz val="10"/>
        <rFont val="WenQuanYi Zen Hei"/>
        <family val="2"/>
      </rPr>
      <t xml:space="preserve">默认</t>
    </r>
    <r>
      <rPr>
        <sz val="10"/>
        <rFont val="Arial"/>
        <family val="0"/>
        <charset val="1"/>
      </rPr>
      <t xml:space="preserve">)</t>
    </r>
    <r>
      <rPr>
        <sz val="10"/>
        <rFont val="WenQuanYi Zen Hei"/>
        <family val="2"/>
      </rPr>
      <t xml:space="preserve">：不达标</t>
    </r>
  </si>
  <si>
    <r>
      <rPr>
        <sz val="10"/>
        <rFont val="WenQuanYi Zen Hei"/>
        <family val="2"/>
      </rPr>
      <t xml:space="preserve">两版说明：一致</t>
    </r>
    <r>
      <rPr>
        <sz val="10"/>
        <rFont val="Arial"/>
        <family val="0"/>
        <charset val="1"/>
      </rPr>
      <t xml:space="preserve">(</t>
    </r>
    <r>
      <rPr>
        <sz val="10"/>
        <rFont val="WenQuanYi Zen Hei"/>
        <family val="2"/>
      </rPr>
      <t xml:space="preserve">都取决于流失边界</t>
    </r>
    <r>
      <rPr>
        <sz val="10"/>
        <rFont val="Arial"/>
        <family val="0"/>
        <charset val="1"/>
      </rPr>
      <t xml:space="preserve">)</t>
    </r>
    <r>
      <rPr>
        <sz val="10"/>
        <rFont val="WenQuanYi Zen Hei"/>
        <family val="2"/>
      </rPr>
      <t xml:space="preserve">；两种干预对比，无未干预对照；部分被试</t>
    </r>
    <r>
      <rPr>
        <sz val="10"/>
        <rFont val="Arial"/>
        <family val="0"/>
        <charset val="1"/>
      </rPr>
      <t xml:space="preserve">ADOS</t>
    </r>
    <r>
      <rPr>
        <sz val="10"/>
        <rFont val="WenQuanYi Zen Hei"/>
        <family val="2"/>
      </rPr>
      <t xml:space="preserve">未达谱系标准</t>
    </r>
  </si>
  <si>
    <r>
      <rPr>
        <sz val="10"/>
        <rFont val="Arial"/>
        <family val="0"/>
        <charset val="1"/>
      </rPr>
      <t xml:space="preserve">003-B </t>
    </r>
    <r>
      <rPr>
        <sz val="10"/>
        <rFont val="WenQuanYi Zen Hei"/>
        <family val="2"/>
      </rPr>
      <t xml:space="preserve">加速实现公平：句法引导对孤独症儿童融合教育及可持续发展目标</t>
    </r>
    <r>
      <rPr>
        <sz val="10"/>
        <rFont val="Arial"/>
        <family val="0"/>
        <charset val="1"/>
      </rPr>
      <t xml:space="preserve">4</t>
    </r>
    <r>
      <rPr>
        <sz val="10"/>
        <rFont val="WenQuanYi Zen Hei"/>
        <family val="2"/>
      </rPr>
      <t xml:space="preserve">的因果影响</t>
    </r>
  </si>
  <si>
    <r>
      <rPr>
        <sz val="10"/>
        <rFont val="WenQuanYi Zen Hei"/>
        <family val="2"/>
      </rPr>
      <t xml:space="preserve">准实验</t>
    </r>
    <r>
      <rPr>
        <sz val="10"/>
        <rFont val="Arial"/>
        <family val="0"/>
        <charset val="1"/>
      </rPr>
      <t xml:space="preserve">(</t>
    </r>
    <r>
      <rPr>
        <sz val="10"/>
        <rFont val="WenQuanYi Zen Hei"/>
        <family val="2"/>
      </rPr>
      <t xml:space="preserve">实验组</t>
    </r>
    <r>
      <rPr>
        <sz val="10"/>
        <rFont val="Arial"/>
        <family val="0"/>
        <charset val="1"/>
      </rPr>
      <t xml:space="preserve">18 vs </t>
    </r>
    <r>
      <rPr>
        <sz val="10"/>
        <rFont val="WenQuanYi Zen Hei"/>
        <family val="2"/>
      </rPr>
      <t xml:space="preserve">对照组</t>
    </r>
    <r>
      <rPr>
        <sz val="10"/>
        <rFont val="Arial"/>
        <family val="0"/>
        <charset val="1"/>
      </rPr>
      <t xml:space="preserve">17)</t>
    </r>
  </si>
  <si>
    <t xml:space="preserve">未报告对照组前测，无法确认基线等同</t>
  </si>
  <si>
    <r>
      <rPr>
        <sz val="10"/>
        <rFont val="Arial"/>
        <family val="0"/>
        <charset val="1"/>
      </rPr>
      <t xml:space="preserve">005-B </t>
    </r>
    <r>
      <rPr>
        <sz val="10"/>
        <rFont val="WenQuanYi Zen Hei"/>
        <family val="2"/>
      </rPr>
      <t xml:space="preserve">普通教育课堂中孤独症学生的学业与社会参与结果：实施融合实践以提升生活质量所面临的挑战</t>
    </r>
  </si>
  <si>
    <r>
      <rPr>
        <sz val="10"/>
        <rFont val="WenQuanYi Zen Hei"/>
        <family val="2"/>
      </rPr>
      <t xml:space="preserve">整群</t>
    </r>
    <r>
      <rPr>
        <sz val="10"/>
        <rFont val="Arial"/>
        <family val="0"/>
        <charset val="1"/>
      </rPr>
      <t xml:space="preserve">RCT(32</t>
    </r>
    <r>
      <rPr>
        <sz val="10"/>
        <rFont val="WenQuanYi Zen Hei"/>
        <family val="2"/>
      </rPr>
      <t xml:space="preserve">所学校，三臂：</t>
    </r>
    <r>
      <rPr>
        <sz val="10"/>
        <rFont val="Arial"/>
        <family val="0"/>
        <charset val="1"/>
      </rPr>
      <t xml:space="preserve">SDLMI+PS / PS / SDLMI)</t>
    </r>
  </si>
  <si>
    <r>
      <rPr>
        <sz val="10"/>
        <rFont val="Arial"/>
        <family val="0"/>
        <charset val="1"/>
      </rPr>
      <t xml:space="preserve">68</t>
    </r>
    <r>
      <rPr>
        <sz val="10"/>
        <rFont val="WenQuanYi Zen Hei"/>
        <family val="2"/>
      </rPr>
      <t xml:space="preserve">人中仅</t>
    </r>
    <r>
      <rPr>
        <sz val="10"/>
        <rFont val="Arial"/>
        <family val="0"/>
        <charset val="1"/>
      </rPr>
      <t xml:space="preserve">59</t>
    </r>
    <r>
      <rPr>
        <sz val="10"/>
        <rFont val="WenQuanYi Zen Hei"/>
        <family val="2"/>
      </rPr>
      <t xml:space="preserve">人有观察数据，各组流失未报告→按高流失处理；结局无前测，无法证明基线等同</t>
    </r>
  </si>
  <si>
    <r>
      <rPr>
        <sz val="10"/>
        <rFont val="WenQuanYi Zen Hei"/>
        <family val="2"/>
      </rPr>
      <t xml:space="preserve">同左；</t>
    </r>
    <r>
      <rPr>
        <sz val="10"/>
        <rFont val="Arial"/>
        <family val="0"/>
        <charset val="1"/>
      </rPr>
      <t xml:space="preserve">5.0</t>
    </r>
    <r>
      <rPr>
        <sz val="10"/>
        <rFont val="WenQuanYi Zen Hei"/>
        <family val="2"/>
      </rPr>
      <t xml:space="preserve">还明确要求：学校随机化后才确定的学生须证明基线等同</t>
    </r>
  </si>
  <si>
    <t xml:space="preserve">无未干预对照组</t>
  </si>
  <si>
    <r>
      <rPr>
        <sz val="10"/>
        <rFont val="Arial"/>
        <family val="0"/>
        <charset val="1"/>
      </rPr>
      <t xml:space="preserve">006-B </t>
    </r>
    <r>
      <rPr>
        <sz val="10"/>
        <rFont val="WenQuanYi Zen Hei"/>
        <family val="2"/>
      </rPr>
      <t xml:space="preserve">基于幼儿园的普适性情绪教育项目对</t>
    </r>
    <r>
      <rPr>
        <sz val="10"/>
        <rFont val="Arial"/>
        <family val="0"/>
        <charset val="1"/>
      </rPr>
      <t xml:space="preserve">3</t>
    </r>
    <r>
      <rPr>
        <sz val="10"/>
        <rFont val="WenQuanYi Zen Hei"/>
        <family val="2"/>
      </rPr>
      <t xml:space="preserve">至</t>
    </r>
    <r>
      <rPr>
        <sz val="10"/>
        <rFont val="Arial"/>
        <family val="0"/>
        <charset val="1"/>
      </rPr>
      <t xml:space="preserve">5</t>
    </r>
    <r>
      <rPr>
        <sz val="10"/>
        <rFont val="WenQuanYi Zen Hei"/>
        <family val="2"/>
      </rPr>
      <t xml:space="preserve">岁孤独症谱系儿童的有效性</t>
    </r>
  </si>
  <si>
    <r>
      <rPr>
        <sz val="10"/>
        <rFont val="WenQuanYi Zen Hei"/>
        <family val="2"/>
      </rPr>
      <t xml:space="preserve">整群</t>
    </r>
    <r>
      <rPr>
        <sz val="10"/>
        <rFont val="Arial"/>
        <family val="0"/>
        <charset val="1"/>
      </rPr>
      <t xml:space="preserve">RCT</t>
    </r>
    <r>
      <rPr>
        <sz val="10"/>
        <rFont val="WenQuanYi Zen Hei"/>
        <family val="2"/>
      </rPr>
      <t xml:space="preserve">中的</t>
    </r>
    <r>
      <rPr>
        <sz val="10"/>
        <rFont val="Arial"/>
        <family val="0"/>
        <charset val="1"/>
      </rPr>
      <t xml:space="preserve">ASD</t>
    </r>
    <r>
      <rPr>
        <sz val="10"/>
        <rFont val="WenQuanYi Zen Hei"/>
        <family val="2"/>
      </rPr>
      <t xml:space="preserve">亚组</t>
    </r>
    <r>
      <rPr>
        <sz val="10"/>
        <rFont val="Arial"/>
        <family val="0"/>
        <charset val="1"/>
      </rPr>
      <t xml:space="preserve">(25</t>
    </r>
    <r>
      <rPr>
        <sz val="10"/>
        <rFont val="WenQuanYi Zen Hei"/>
        <family val="2"/>
      </rPr>
      <t xml:space="preserve">所学校；干预</t>
    </r>
    <r>
      <rPr>
        <sz val="10"/>
        <rFont val="Arial"/>
        <family val="0"/>
        <charset val="1"/>
      </rPr>
      <t xml:space="preserve">34 vs </t>
    </r>
    <r>
      <rPr>
        <sz val="10"/>
        <rFont val="WenQuanYi Zen Hei"/>
        <family val="2"/>
      </rPr>
      <t xml:space="preserve">对照</t>
    </r>
    <r>
      <rPr>
        <sz val="10"/>
        <rFont val="Arial"/>
        <family val="0"/>
        <charset val="1"/>
      </rPr>
      <t xml:space="preserve">15)</t>
    </r>
  </si>
  <si>
    <r>
      <rPr>
        <sz val="10"/>
        <rFont val="WenQuanYi Zen Hei"/>
        <family val="2"/>
      </rPr>
      <t xml:space="preserve">流失无法计算；前测</t>
    </r>
    <r>
      <rPr>
        <sz val="10"/>
        <rFont val="Arial"/>
        <family val="0"/>
        <charset val="1"/>
      </rPr>
      <t xml:space="preserve">ECAQ</t>
    </r>
    <r>
      <rPr>
        <sz val="10"/>
        <rFont val="WenQuanYi Zen Hei"/>
        <family val="2"/>
      </rPr>
      <t xml:space="preserve">干预组</t>
    </r>
    <r>
      <rPr>
        <sz val="10"/>
        <rFont val="Arial"/>
        <family val="0"/>
        <charset val="1"/>
      </rPr>
      <t xml:space="preserve">65.8 vs </t>
    </r>
    <r>
      <rPr>
        <sz val="10"/>
        <rFont val="WenQuanYi Zen Hei"/>
        <family val="2"/>
      </rPr>
      <t xml:space="preserve">对照组</t>
    </r>
    <r>
      <rPr>
        <sz val="10"/>
        <rFont val="Arial"/>
        <family val="0"/>
        <charset val="1"/>
      </rPr>
      <t xml:space="preserve">76.5</t>
    </r>
    <r>
      <rPr>
        <sz val="10"/>
        <rFont val="WenQuanYi Zen Hei"/>
        <family val="2"/>
      </rPr>
      <t xml:space="preserve">，差约</t>
    </r>
    <r>
      <rPr>
        <sz val="10"/>
        <rFont val="Arial"/>
        <family val="0"/>
        <charset val="1"/>
      </rPr>
      <t xml:space="preserve">0.58 SD(&gt;0.25)</t>
    </r>
  </si>
  <si>
    <r>
      <rPr>
        <sz val="10"/>
        <rFont val="Arial"/>
        <family val="0"/>
        <charset val="1"/>
      </rPr>
      <t xml:space="preserve">007-B I-SOCIALISE</t>
    </r>
    <r>
      <rPr>
        <sz val="10"/>
        <rFont val="WenQuanYi Zen Hei"/>
        <family val="2"/>
      </rPr>
      <t xml:space="preserve">：探究在学校环境中参加乐高疗法（“积木游戏疗法”）俱乐部的孤独症儿童社会能力与社会孤立状况的整群随机对照试验结果</t>
    </r>
  </si>
  <si>
    <r>
      <rPr>
        <sz val="10"/>
        <rFont val="WenQuanYi Zen Hei"/>
        <family val="2"/>
      </rPr>
      <t xml:space="preserve">整群</t>
    </r>
    <r>
      <rPr>
        <sz val="10"/>
        <rFont val="Arial"/>
        <family val="0"/>
        <charset val="1"/>
      </rPr>
      <t xml:space="preserve">RCT(98</t>
    </r>
    <r>
      <rPr>
        <sz val="10"/>
        <rFont val="WenQuanYi Zen Hei"/>
        <family val="2"/>
      </rPr>
      <t xml:space="preserve">所学校；乐高治疗</t>
    </r>
    <r>
      <rPr>
        <sz val="10"/>
        <rFont val="Arial"/>
        <family val="0"/>
        <charset val="1"/>
      </rPr>
      <t xml:space="preserve">+</t>
    </r>
    <r>
      <rPr>
        <sz val="10"/>
        <rFont val="WenQuanYi Zen Hei"/>
        <family val="2"/>
      </rPr>
      <t xml:space="preserve">常规支持 </t>
    </r>
    <r>
      <rPr>
        <sz val="10"/>
        <rFont val="Arial"/>
        <family val="0"/>
        <charset val="1"/>
      </rPr>
      <t xml:space="preserve">vs </t>
    </r>
    <r>
      <rPr>
        <sz val="10"/>
        <rFont val="WenQuanYi Zen Hei"/>
        <family val="2"/>
      </rPr>
      <t xml:space="preserve">常规支持</t>
    </r>
    <r>
      <rPr>
        <sz val="10"/>
        <rFont val="Arial"/>
        <family val="0"/>
        <charset val="1"/>
      </rPr>
      <t xml:space="preserve">)</t>
    </r>
  </si>
  <si>
    <r>
      <rPr>
        <sz val="10"/>
        <rFont val="WenQuanYi Zen Hei"/>
        <family val="2"/>
      </rPr>
      <t xml:space="preserve">宽松边界：无保留；保守边界：有保留</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</si>
  <si>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WenQuanYi Zen Hei"/>
        <family val="2"/>
      </rPr>
      <t xml:space="preserve">学校层流失低</t>
    </r>
    <r>
      <rPr>
        <sz val="10"/>
        <rFont val="Arial"/>
        <family val="0"/>
        <charset val="1"/>
      </rPr>
      <t xml:space="preserve">(</t>
    </r>
    <r>
      <rPr>
        <sz val="10"/>
        <rFont val="WenQuanYi Zen Hei"/>
        <family val="2"/>
      </rPr>
      <t xml:space="preserve">总</t>
    </r>
    <r>
      <rPr>
        <sz val="10"/>
        <rFont val="Arial"/>
        <family val="0"/>
        <charset val="1"/>
      </rPr>
      <t xml:space="preserve">11.2%</t>
    </r>
    <r>
      <rPr>
        <sz val="10"/>
        <rFont val="WenQuanYi Zen Hei"/>
        <family val="2"/>
      </rPr>
      <t xml:space="preserve">、差异</t>
    </r>
    <r>
      <rPr>
        <sz val="10"/>
        <rFont val="Arial"/>
        <family val="0"/>
        <charset val="1"/>
      </rPr>
      <t xml:space="preserve">2.5%)</t>
    </r>
    <r>
      <rPr>
        <sz val="10"/>
        <rFont val="WenQuanYi Zen Hei"/>
        <family val="2"/>
      </rPr>
      <t xml:space="preserve">；儿童层</t>
    </r>
    <r>
      <rPr>
        <sz val="10"/>
        <rFont val="Arial"/>
        <family val="0"/>
        <charset val="1"/>
      </rPr>
      <t xml:space="preserve">20</t>
    </r>
    <r>
      <rPr>
        <sz val="10"/>
        <rFont val="WenQuanYi Zen Hei"/>
        <family val="2"/>
      </rPr>
      <t xml:space="preserve">周流失</t>
    </r>
    <r>
      <rPr>
        <sz val="10"/>
        <rFont val="Arial"/>
        <family val="0"/>
        <charset val="1"/>
      </rPr>
      <t xml:space="preserve">12%</t>
    </r>
    <r>
      <rPr>
        <sz val="10"/>
        <rFont val="WenQuanYi Zen Hei"/>
        <family val="2"/>
      </rPr>
      <t xml:space="preserve">、差异</t>
    </r>
    <r>
      <rPr>
        <sz val="10"/>
        <rFont val="Arial"/>
        <family val="0"/>
        <charset val="1"/>
      </rPr>
      <t xml:space="preserve">8.4%</t>
    </r>
    <r>
      <rPr>
        <sz val="10"/>
        <rFont val="WenQuanYi Zen Hei"/>
        <family val="2"/>
      </rPr>
      <t xml:space="preserve">，保守边界下属高流失，需分析样本基线等同</t>
    </r>
    <r>
      <rPr>
        <sz val="10"/>
        <rFont val="Arial"/>
        <family val="0"/>
        <charset val="1"/>
      </rPr>
      <t xml:space="preserve">(</t>
    </r>
    <r>
      <rPr>
        <sz val="10"/>
        <rFont val="WenQuanYi Zen Hei"/>
        <family val="2"/>
      </rPr>
      <t xml:space="preserve">全样本基线差</t>
    </r>
    <r>
      <rPr>
        <sz val="10"/>
        <rFont val="Arial"/>
        <family val="0"/>
        <charset val="1"/>
      </rPr>
      <t xml:space="preserve">0.06 SD</t>
    </r>
    <r>
      <rPr>
        <sz val="10"/>
        <rFont val="WenQuanYi Zen Hei"/>
        <family val="2"/>
      </rPr>
      <t xml:space="preserve">，分析已调整前测</t>
    </r>
    <r>
      <rPr>
        <sz val="10"/>
        <rFont val="Arial"/>
        <family val="0"/>
        <charset val="1"/>
      </rPr>
      <t xml:space="preserve">)</t>
    </r>
  </si>
  <si>
    <r>
      <rPr>
        <sz val="10"/>
        <rFont val="WenQuanYi Zen Hei"/>
        <family val="2"/>
      </rPr>
      <t xml:space="preserve">乐观边界：无保留；谨慎边界：有保留</t>
    </r>
    <r>
      <rPr>
        <sz val="10"/>
        <rFont val="Arial"/>
        <family val="0"/>
        <charset val="1"/>
      </rPr>
      <t xml:space="preserve">(</t>
    </r>
    <r>
      <rPr>
        <sz val="10"/>
        <rFont val="WenQuanYi Zen Hei"/>
        <family val="2"/>
      </rPr>
      <t xml:space="preserve">初判</t>
    </r>
    <r>
      <rPr>
        <sz val="10"/>
        <rFont val="Arial"/>
        <family val="0"/>
        <charset val="1"/>
      </rPr>
      <t xml:space="preserve">)</t>
    </r>
  </si>
  <si>
    <r>
      <rPr>
        <sz val="10"/>
        <rFont val="WenQuanYi Zen Hei"/>
        <family val="2"/>
      </rPr>
      <t xml:space="preserve">两版说明：一致</t>
    </r>
    <r>
      <rPr>
        <sz val="10"/>
        <rFont val="Arial"/>
        <family val="0"/>
        <charset val="1"/>
      </rPr>
      <t xml:space="preserve">(</t>
    </r>
    <r>
      <rPr>
        <sz val="10"/>
        <rFont val="WenQuanYi Zen Hei"/>
        <family val="2"/>
      </rPr>
      <t xml:space="preserve">都取决于流失边界</t>
    </r>
    <r>
      <rPr>
        <sz val="10"/>
        <rFont val="Arial"/>
        <family val="0"/>
        <charset val="1"/>
      </rPr>
      <t xml:space="preserve">)</t>
    </r>
    <r>
      <rPr>
        <sz val="10"/>
        <rFont val="WenQuanYi Zen Hei"/>
        <family val="2"/>
      </rPr>
      <t xml:space="preserve">；分析样本的基线数据未单独报告，按全样本差异判断</t>
    </r>
  </si>
  <si>
    <r>
      <rPr>
        <sz val="10"/>
        <rFont val="Arial"/>
        <family val="0"/>
        <charset val="1"/>
      </rPr>
      <t xml:space="preserve">008-B </t>
    </r>
    <r>
      <rPr>
        <sz val="10"/>
        <rFont val="WenQuanYi Zen Hei"/>
        <family val="2"/>
      </rPr>
      <t xml:space="preserve">小学柔道与空手道作为促进孤独症儿童社会融合的手段</t>
    </r>
  </si>
  <si>
    <r>
      <rPr>
        <sz val="10"/>
        <rFont val="WenQuanYi Zen Hei"/>
        <family val="2"/>
      </rPr>
      <t xml:space="preserve">随机分班</t>
    </r>
    <r>
      <rPr>
        <sz val="10"/>
        <rFont val="Arial"/>
        <family val="0"/>
        <charset val="1"/>
      </rPr>
      <t xml:space="preserve">(31</t>
    </r>
    <r>
      <rPr>
        <sz val="10"/>
        <rFont val="WenQuanYi Zen Hei"/>
        <family val="2"/>
      </rPr>
      <t xml:space="preserve">个班；柔道 </t>
    </r>
    <r>
      <rPr>
        <sz val="10"/>
        <rFont val="Arial"/>
        <family val="0"/>
        <charset val="1"/>
      </rPr>
      <t xml:space="preserve">vs </t>
    </r>
    <r>
      <rPr>
        <sz val="10"/>
        <rFont val="WenQuanYi Zen Hei"/>
        <family val="2"/>
      </rPr>
      <t xml:space="preserve">空手道</t>
    </r>
    <r>
      <rPr>
        <sz val="10"/>
        <rFont val="Arial"/>
        <family val="0"/>
        <charset val="1"/>
      </rPr>
      <t xml:space="preserve">)</t>
    </r>
  </si>
  <si>
    <r>
      <rPr>
        <sz val="10"/>
        <rFont val="WenQuanYi Zen Hei"/>
        <family val="2"/>
      </rPr>
      <t xml:space="preserve">无流失；随机化描述简略；教练人数未报告</t>
    </r>
    <r>
      <rPr>
        <sz val="10"/>
        <rFont val="Arial"/>
        <family val="0"/>
        <charset val="1"/>
      </rPr>
      <t xml:space="preserve">(</t>
    </r>
    <r>
      <rPr>
        <sz val="10"/>
        <rFont val="WenQuanYi Zen Hei"/>
        <family val="2"/>
      </rPr>
      <t xml:space="preserve">若每个项目只有</t>
    </r>
    <r>
      <rPr>
        <sz val="10"/>
        <rFont val="Arial"/>
        <family val="0"/>
        <charset val="1"/>
      </rPr>
      <t xml:space="preserve">1</t>
    </r>
    <r>
      <rPr>
        <sz val="10"/>
        <rFont val="WenQuanYi Zen Hei"/>
        <family val="2"/>
      </rPr>
      <t xml:space="preserve">名教练则构成混淆→不达标</t>
    </r>
    <r>
      <rPr>
        <sz val="10"/>
        <rFont val="Arial"/>
        <family val="0"/>
        <charset val="1"/>
      </rPr>
      <t xml:space="preserve">)</t>
    </r>
  </si>
  <si>
    <t xml:space="preserve">两种干预对比，无未干预对照；原文只报告组内前后测变化</t>
  </si>
  <si>
    <r>
      <rPr>
        <sz val="10"/>
        <rFont val="Arial"/>
        <family val="0"/>
        <charset val="1"/>
      </rPr>
      <t xml:space="preserve">009-B “</t>
    </r>
    <r>
      <rPr>
        <sz val="10"/>
        <rFont val="WenQuanYi Zen Hei"/>
        <family val="2"/>
      </rPr>
      <t xml:space="preserve">重塑课间休息”干预改善孤独症谱系障碍儿童在校同伴互动：多地点随机试验</t>
    </r>
  </si>
  <si>
    <r>
      <rPr>
        <sz val="10"/>
        <rFont val="Arial"/>
        <family val="0"/>
        <charset val="1"/>
      </rPr>
      <t xml:space="preserve">RCT(80</t>
    </r>
    <r>
      <rPr>
        <sz val="10"/>
        <rFont val="WenQuanYi Zen Hei"/>
        <family val="2"/>
      </rPr>
      <t xml:space="preserve">人；</t>
    </r>
    <r>
      <rPr>
        <sz val="10"/>
        <rFont val="Arial"/>
        <family val="0"/>
        <charset val="1"/>
      </rPr>
      <t xml:space="preserve">RR vs </t>
    </r>
    <r>
      <rPr>
        <sz val="10"/>
        <rFont val="WenQuanYi Zen Hei"/>
        <family val="2"/>
      </rPr>
      <t xml:space="preserve">候补对照</t>
    </r>
    <r>
      <rPr>
        <sz val="10"/>
        <rFont val="Arial"/>
        <family val="0"/>
        <charset val="1"/>
      </rPr>
      <t xml:space="preserve">)</t>
    </r>
  </si>
  <si>
    <r>
      <rPr>
        <sz val="10"/>
        <rFont val="WenQuanYi Zen Hei"/>
        <family val="2"/>
      </rPr>
      <t xml:space="preserve">流失约</t>
    </r>
    <r>
      <rPr>
        <sz val="10"/>
        <rFont val="Arial"/>
        <family val="0"/>
        <charset val="1"/>
      </rPr>
      <t xml:space="preserve">2.5%</t>
    </r>
  </si>
  <si>
    <r>
      <rPr>
        <sz val="10"/>
        <rFont val="WenQuanYi Zen Hei"/>
        <family val="2"/>
      </rPr>
      <t xml:space="preserve">随访只在</t>
    </r>
    <r>
      <rPr>
        <sz val="10"/>
        <rFont val="Arial"/>
        <family val="0"/>
        <charset val="1"/>
      </rPr>
      <t xml:space="preserve">2</t>
    </r>
    <r>
      <rPr>
        <sz val="10"/>
        <rFont val="WenQuanYi Zen Hei"/>
        <family val="2"/>
      </rPr>
      <t xml:space="preserve">个地点收集</t>
    </r>
    <r>
      <rPr>
        <sz val="10"/>
        <rFont val="Arial"/>
        <family val="0"/>
        <charset val="1"/>
      </rPr>
      <t xml:space="preserve">(</t>
    </r>
    <r>
      <rPr>
        <sz val="10"/>
        <rFont val="WenQuanYi Zen Hei"/>
        <family val="2"/>
      </rPr>
      <t xml:space="preserve">计划内</t>
    </r>
    <r>
      <rPr>
        <sz val="10"/>
        <rFont val="Arial"/>
        <family val="0"/>
        <charset val="1"/>
      </rPr>
      <t xml:space="preserve">)</t>
    </r>
  </si>
  <si>
    <r>
      <rPr>
        <sz val="10"/>
        <rFont val="WenQuanYi Zen Hei"/>
        <family val="2"/>
      </rPr>
      <t xml:space="preserve">沙鹏</t>
    </r>
    <r>
      <rPr>
        <sz val="10"/>
        <rFont val="Arial"/>
        <family val="0"/>
        <charset val="1"/>
      </rPr>
      <t xml:space="preserve">2023 </t>
    </r>
    <r>
      <rPr>
        <sz val="10"/>
        <rFont val="WenQuanYi Zen Hei"/>
        <family val="2"/>
      </rPr>
      <t xml:space="preserve">基于同伴介入法的气排球运动干预对随班就读孤独症儿童社交能力的影响（中文）</t>
    </r>
  </si>
  <si>
    <r>
      <rPr>
        <sz val="10"/>
        <rFont val="WenQuanYi Zen Hei"/>
        <family val="2"/>
      </rPr>
      <t xml:space="preserve">个体</t>
    </r>
    <r>
      <rPr>
        <sz val="10"/>
        <rFont val="Arial"/>
        <family val="0"/>
        <charset val="1"/>
      </rPr>
      <t xml:space="preserve">RCT(36</t>
    </r>
    <r>
      <rPr>
        <sz val="10"/>
        <rFont val="WenQuanYi Zen Hei"/>
        <family val="2"/>
      </rPr>
      <t xml:space="preserve">人，</t>
    </r>
    <r>
      <rPr>
        <sz val="10"/>
        <rFont val="Arial"/>
        <family val="0"/>
        <charset val="1"/>
      </rPr>
      <t xml:space="preserve">18/18</t>
    </r>
    <r>
      <rPr>
        <sz val="10"/>
        <rFont val="WenQuanYi Zen Hei"/>
        <family val="2"/>
      </rPr>
      <t xml:space="preserve">，随机数表</t>
    </r>
    <r>
      <rPr>
        <sz val="10"/>
        <rFont val="Arial"/>
        <family val="0"/>
        <charset val="1"/>
      </rPr>
      <t xml:space="preserve">)</t>
    </r>
  </si>
  <si>
    <r>
      <rPr>
        <sz val="10"/>
        <rFont val="WenQuanYi Zen Hei"/>
        <family val="2"/>
      </rPr>
      <t xml:space="preserve">无流失；前测无差异</t>
    </r>
    <r>
      <rPr>
        <sz val="10"/>
        <rFont val="Arial"/>
        <family val="0"/>
        <charset val="1"/>
      </rPr>
      <t xml:space="preserve">(η²≤.006)</t>
    </r>
  </si>
  <si>
    <r>
      <rPr>
        <sz val="10"/>
        <rFont val="WenQuanYi Zen Hei"/>
        <family val="2"/>
      </rPr>
      <t xml:space="preserve">需核对：若实验组由同一名教练集中带一个组，可能被视为</t>
    </r>
    <r>
      <rPr>
        <sz val="10"/>
        <rFont val="Arial"/>
        <family val="0"/>
        <charset val="1"/>
      </rPr>
      <t xml:space="preserve">"n=1"</t>
    </r>
    <r>
      <rPr>
        <sz val="10"/>
        <rFont val="WenQuanYi Zen Hei"/>
        <family val="2"/>
      </rPr>
      <t xml:space="preserve">混淆；对照组接受同频常规社交干预</t>
    </r>
  </si>
</sst>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3"/>
      <name val="WenQuanYi Zen Hei"/>
      <family val="2"/>
    </font>
    <font>
      <sz val="10"/>
      <name val="WenQuanYi Zen Hei"/>
      <family val="2"/>
    </font>
    <font>
      <sz val="10"/>
      <name val="Arial"/>
      <family val="0"/>
      <charset val="1"/>
    </font>
    <font>
      <b val="true"/>
      <sz val="10"/>
      <name val="WenQuanYi Zen Hei"/>
      <family val="2"/>
    </font>
    <font>
      <b val="true"/>
      <sz val="10"/>
      <color rgb="FFFFFFFF"/>
      <name val="WenQuanYi Zen Hei"/>
      <family val="2"/>
    </font>
    <font>
      <b val="true"/>
      <sz val="10"/>
      <color rgb="FFFFFFFF"/>
      <name val="Arial"/>
      <family val="0"/>
      <charset val="1"/>
    </font>
    <font>
      <b val="true"/>
      <sz val="10"/>
      <name val="Arial"/>
      <family val="0"/>
      <charset val="1"/>
    </font>
  </fonts>
  <fills count="7">
    <fill>
      <patternFill patternType="none"/>
    </fill>
    <fill>
      <patternFill patternType="gray125"/>
    </fill>
    <fill>
      <patternFill patternType="solid">
        <fgColor rgb="FF305496"/>
        <bgColor rgb="FF666699"/>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top" textRotation="0" wrapText="true" indent="0" shrinkToFit="false"/>
      <protection locked="true" hidden="false"/>
    </xf>
    <xf numFmtId="164" fontId="10" fillId="2"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center" vertical="top" textRotation="0" wrapText="true" indent="0" shrinkToFit="false"/>
      <protection locked="true" hidden="false"/>
    </xf>
    <xf numFmtId="165" fontId="11"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20"/>
    <col collapsed="false" customWidth="true" hidden="false" outlineLevel="0" max="5" min="4" style="0" width="14"/>
    <col collapsed="false" customWidth="true" hidden="false" outlineLevel="0" max="6" min="6" style="0" width="70"/>
  </cols>
  <sheetData>
    <row r="1" customFormat="false" ht="17.15" hidden="false" customHeight="false" outlineLevel="0" collapsed="false">
      <c r="A1" s="1" t="s">
        <v>0</v>
      </c>
    </row>
    <row r="2" customFormat="false" ht="30" hidden="false" customHeight="tru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t="s">
        <v>3</v>
      </c>
      <c r="B5" s="5" t="s">
        <v>4</v>
      </c>
      <c r="C5" s="5" t="s">
        <v>5</v>
      </c>
    </row>
    <row r="6" customFormat="false" ht="15" hidden="false" customHeight="false" outlineLevel="0" collapsed="false">
      <c r="A6" s="6" t="s">
        <v>6</v>
      </c>
      <c r="B6" s="7" t="n">
        <f aca="false">COUNTIF(单一被试!$J$2:$J$46,"无保留")</f>
        <v>13</v>
      </c>
      <c r="C6" s="7" t="n">
        <f aca="false">COUNTIF(单一被试!$K$2:$K$46,"无保留")</f>
        <v>5</v>
      </c>
    </row>
    <row r="7" customFormat="false" ht="15" hidden="false" customHeight="false" outlineLevel="0" collapsed="false">
      <c r="A7" s="6" t="s">
        <v>7</v>
      </c>
      <c r="B7" s="7" t="n">
        <f aca="false">COUNTIF(单一被试!$J$2:$J$46,"有保留")</f>
        <v>22</v>
      </c>
      <c r="C7" s="7" t="n">
        <f aca="false">COUNTIF(单一被试!$K$2:$K$46,"有保留")</f>
        <v>30</v>
      </c>
    </row>
    <row r="8" customFormat="false" ht="15" hidden="false" customHeight="false" outlineLevel="0" collapsed="false">
      <c r="A8" s="6" t="s">
        <v>8</v>
      </c>
      <c r="B8" s="7" t="n">
        <f aca="false">COUNTIF(单一被试!$J$2:$J$46,"不达标")</f>
        <v>10</v>
      </c>
      <c r="C8" s="7" t="n">
        <f aca="false">COUNTIF(单一被试!$K$2:$K$46,"不达标")</f>
        <v>10</v>
      </c>
    </row>
    <row r="9" customFormat="false" ht="15" hidden="false" customHeight="false" outlineLevel="0" collapsed="false">
      <c r="A9" s="3" t="s">
        <v>9</v>
      </c>
      <c r="B9" s="8" t="n">
        <f aca="false">B6+B7</f>
        <v>35</v>
      </c>
      <c r="C9" s="8" t="n">
        <f aca="false">C6+C7</f>
        <v>35</v>
      </c>
    </row>
    <row r="10" customFormat="false" ht="26.85" hidden="false" customHeight="false" outlineLevel="0" collapsed="false">
      <c r="A10" s="6" t="s">
        <v>10</v>
      </c>
      <c r="B10" s="7" t="n">
        <f aca="false">COUNTIF(单一被试!$L$2:$L$46,"一致")</f>
        <v>33</v>
      </c>
      <c r="C10" s="7" t="n">
        <f aca="false">COUNTIF(单一被试!$L$2:$L$46,"不一致")</f>
        <v>12</v>
      </c>
      <c r="D10" s="6" t="s">
        <v>11</v>
      </c>
    </row>
    <row r="12" customFormat="false" ht="26.85" hidden="false" customHeight="false" outlineLevel="0" collapsed="false">
      <c r="A12" s="3" t="s">
        <v>12</v>
      </c>
    </row>
    <row r="13" customFormat="false" ht="15" hidden="false" customHeight="false" outlineLevel="0" collapsed="false">
      <c r="A13" s="5" t="s">
        <v>13</v>
      </c>
      <c r="B13" s="4" t="s">
        <v>6</v>
      </c>
      <c r="C13" s="4" t="s">
        <v>7</v>
      </c>
      <c r="D13" s="4" t="s">
        <v>8</v>
      </c>
      <c r="E13" s="4" t="s">
        <v>14</v>
      </c>
    </row>
    <row r="14" customFormat="false" ht="15" hidden="false" customHeight="false" outlineLevel="0" collapsed="false">
      <c r="A14" s="6" t="s">
        <v>6</v>
      </c>
      <c r="B14" s="7" t="n">
        <f aca="false">COUNTIFS(单一被试!$J$2:$J$46,"无保留",单一被试!$K$2:$K$46,"无保留")</f>
        <v>4</v>
      </c>
      <c r="C14" s="7" t="n">
        <f aca="false">COUNTIFS(单一被试!$J$2:$J$46,"无保留",单一被试!$K$2:$K$46,"有保留")</f>
        <v>9</v>
      </c>
      <c r="D14" s="7" t="n">
        <f aca="false">COUNTIFS(单一被试!$J$2:$J$46,"无保留",单一被试!$K$2:$K$46,"不达标")</f>
        <v>0</v>
      </c>
      <c r="E14" s="8" t="n">
        <f aca="false">SUM(B14:D14)</f>
        <v>13</v>
      </c>
    </row>
    <row r="15" customFormat="false" ht="15" hidden="false" customHeight="false" outlineLevel="0" collapsed="false">
      <c r="A15" s="6" t="s">
        <v>7</v>
      </c>
      <c r="B15" s="7" t="n">
        <f aca="false">COUNTIFS(单一被试!$J$2:$J$46,"有保留",单一被试!$K$2:$K$46,"无保留")</f>
        <v>1</v>
      </c>
      <c r="C15" s="7" t="n">
        <f aca="false">COUNTIFS(单一被试!$J$2:$J$46,"有保留",单一被试!$K$2:$K$46,"有保留")</f>
        <v>20</v>
      </c>
      <c r="D15" s="7" t="n">
        <f aca="false">COUNTIFS(单一被试!$J$2:$J$46,"有保留",单一被试!$K$2:$K$46,"不达标")</f>
        <v>1</v>
      </c>
      <c r="E15" s="8" t="n">
        <f aca="false">SUM(B15:D15)</f>
        <v>22</v>
      </c>
    </row>
    <row r="16" customFormat="false" ht="15" hidden="false" customHeight="false" outlineLevel="0" collapsed="false">
      <c r="A16" s="6" t="s">
        <v>8</v>
      </c>
      <c r="B16" s="7" t="n">
        <f aca="false">COUNTIFS(单一被试!$J$2:$J$46,"不达标",单一被试!$K$2:$K$46,"无保留")</f>
        <v>0</v>
      </c>
      <c r="C16" s="7" t="n">
        <f aca="false">COUNTIFS(单一被试!$J$2:$J$46,"不达标",单一被试!$K$2:$K$46,"有保留")</f>
        <v>1</v>
      </c>
      <c r="D16" s="7" t="n">
        <f aca="false">COUNTIFS(单一被试!$J$2:$J$46,"不达标",单一被试!$K$2:$K$46,"不达标")</f>
        <v>9</v>
      </c>
      <c r="E16" s="8" t="n">
        <f aca="false">SUM(B16:D16)</f>
        <v>10</v>
      </c>
    </row>
    <row r="17" customFormat="false" ht="15" hidden="false" customHeight="false" outlineLevel="0" collapsed="false">
      <c r="A17" s="3" t="s">
        <v>14</v>
      </c>
      <c r="B17" s="8" t="n">
        <f aca="false">SUM(B14:B16)</f>
        <v>5</v>
      </c>
      <c r="C17" s="8" t="n">
        <f aca="false">SUM(C14:C16)</f>
        <v>30</v>
      </c>
      <c r="D17" s="8" t="n">
        <f aca="false">SUM(D14:D16)</f>
        <v>10</v>
      </c>
      <c r="E17" s="8" t="n">
        <f aca="false">SUM(E14:E16)</f>
        <v>45</v>
      </c>
    </row>
    <row r="19" customFormat="false" ht="26.85" hidden="false" customHeight="false" outlineLevel="0" collapsed="false">
      <c r="A19" s="3" t="s">
        <v>15</v>
      </c>
    </row>
    <row r="20" customFormat="false" ht="15" hidden="false" customHeight="false" outlineLevel="0" collapsed="false">
      <c r="A20" s="4" t="s">
        <v>16</v>
      </c>
      <c r="B20" s="4" t="s">
        <v>17</v>
      </c>
    </row>
    <row r="21" customFormat="false" ht="15" hidden="false" customHeight="false" outlineLevel="0" collapsed="false">
      <c r="A21" s="6" t="s">
        <v>18</v>
      </c>
      <c r="B21" s="7" t="n">
        <f aca="false">COUNTIFS(单一被试!$J$2:$J$46,"&lt;&gt;不达标",单一被试!$H$2:$H$46,"强*")</f>
        <v>21</v>
      </c>
    </row>
    <row r="22" customFormat="false" ht="15" hidden="false" customHeight="false" outlineLevel="0" collapsed="false">
      <c r="A22" s="6" t="s">
        <v>19</v>
      </c>
      <c r="B22" s="7" t="n">
        <f aca="false">COUNTIFS(单一被试!$J$2:$J$46,"&lt;&gt;不达标",单一被试!$H$2:$H$46,"中等*")</f>
        <v>13</v>
      </c>
    </row>
    <row r="23" customFormat="false" ht="26.85" hidden="false" customHeight="false" outlineLevel="0" collapsed="false">
      <c r="A23" s="6" t="s">
        <v>20</v>
      </c>
      <c r="B23" s="7" t="n">
        <f aca="false">COUNTIFS(单一被试!$J$2:$J$46,"&lt;&gt;不达标",单一被试!$H$2:$H$46,"*无证据*")</f>
        <v>1</v>
      </c>
    </row>
    <row r="24" customFormat="false" ht="15" hidden="false" customHeight="false" outlineLevel="0" collapsed="false">
      <c r="A24" s="3" t="s">
        <v>14</v>
      </c>
      <c r="B24" s="8" t="n">
        <f aca="false">SUM(B21:B23)</f>
        <v>35</v>
      </c>
      <c r="C24" s="7" t="str">
        <f aca="false">IF(B24=B9,"与3.0达标篇数相符","核对")</f>
        <v>与3.0达标篇数相符</v>
      </c>
    </row>
    <row r="26" customFormat="false" ht="26.85" hidden="false" customHeight="false" outlineLevel="0" collapsed="false">
      <c r="A26" s="3" t="s">
        <v>21</v>
      </c>
    </row>
    <row r="27" customFormat="false" ht="15" hidden="false" customHeight="false" outlineLevel="0" collapsed="false">
      <c r="A27" s="4" t="s">
        <v>3</v>
      </c>
      <c r="B27" s="4" t="s">
        <v>22</v>
      </c>
      <c r="C27" s="4" t="s">
        <v>23</v>
      </c>
    </row>
    <row r="28" customFormat="false" ht="15" hidden="false" customHeight="false" outlineLevel="0" collapsed="false">
      <c r="A28" s="6" t="s">
        <v>6</v>
      </c>
      <c r="B28" s="7" t="n">
        <f aca="false">COUNTIF(组间设计!$I$2:$I$10,"无保留")</f>
        <v>6</v>
      </c>
      <c r="C28" s="7" t="n">
        <f aca="false">COUNTIF(组间设计!$J$2:$J$10,"无保留")</f>
        <v>4</v>
      </c>
    </row>
    <row r="29" customFormat="false" ht="15" hidden="false" customHeight="false" outlineLevel="0" collapsed="false">
      <c r="A29" s="6" t="s">
        <v>7</v>
      </c>
      <c r="B29" s="7" t="n">
        <f aca="false">COUNTIF(组间设计!$I$2:$I$10,"有保留")</f>
        <v>0</v>
      </c>
      <c r="C29" s="7" t="n">
        <f aca="false">COUNTIF(组间设计!$J$2:$J$10,"有保留")</f>
        <v>1</v>
      </c>
    </row>
    <row r="30" customFormat="false" ht="15" hidden="false" customHeight="false" outlineLevel="0" collapsed="false">
      <c r="A30" s="6" t="s">
        <v>8</v>
      </c>
      <c r="B30" s="7" t="n">
        <f aca="false">COUNTIF(组间设计!$I$2:$I$10,"不达标")</f>
        <v>3</v>
      </c>
      <c r="C30" s="7" t="n">
        <f aca="false">COUNTIF(组间设计!$J$2:$J$10,"不达标")</f>
        <v>4</v>
      </c>
    </row>
    <row r="31" customFormat="false" ht="15" hidden="false" customHeight="false" outlineLevel="0" collapsed="false">
      <c r="A31" s="3" t="s">
        <v>24</v>
      </c>
      <c r="B31" s="8" t="n">
        <f aca="false">B28+B29</f>
        <v>6</v>
      </c>
      <c r="C31" s="8" t="n">
        <f aca="false">C28+C29</f>
        <v>5</v>
      </c>
    </row>
    <row r="33" customFormat="false" ht="15" hidden="false" customHeight="false" outlineLevel="0" collapsed="false">
      <c r="A33" s="3" t="s">
        <v>25</v>
      </c>
    </row>
    <row r="34" customFormat="false" ht="15" hidden="false" customHeight="false" outlineLevel="0" collapsed="false">
      <c r="A34" s="4" t="s">
        <v>26</v>
      </c>
      <c r="B34" s="4" t="s">
        <v>27</v>
      </c>
      <c r="C34" s="4" t="s">
        <v>28</v>
      </c>
    </row>
    <row r="35" customFormat="false" ht="45" hidden="false" customHeight="true" outlineLevel="0" collapsed="false">
      <c r="A35" s="9" t="s">
        <v>29</v>
      </c>
      <c r="B35" s="9" t="s">
        <v>30</v>
      </c>
      <c r="C35" s="9" t="s">
        <v>31</v>
      </c>
    </row>
    <row r="36" customFormat="false" ht="45" hidden="false" customHeight="true" outlineLevel="0" collapsed="false">
      <c r="A36" s="9" t="s">
        <v>32</v>
      </c>
      <c r="B36" s="9" t="s">
        <v>33</v>
      </c>
      <c r="C36" s="9" t="s">
        <v>31</v>
      </c>
    </row>
    <row r="37" customFormat="false" ht="45" hidden="false" customHeight="true" outlineLevel="0" collapsed="false">
      <c r="A37" s="9" t="s">
        <v>34</v>
      </c>
      <c r="B37" s="9" t="s">
        <v>35</v>
      </c>
      <c r="C37" s="9" t="s">
        <v>36</v>
      </c>
    </row>
    <row r="38" customFormat="false" ht="45" hidden="false" customHeight="true" outlineLevel="0" collapsed="false">
      <c r="A38" s="9" t="s">
        <v>37</v>
      </c>
      <c r="B38" s="9" t="s">
        <v>38</v>
      </c>
      <c r="C38" s="9" t="s">
        <v>39</v>
      </c>
    </row>
    <row r="39" customFormat="false" ht="45" hidden="false" customHeight="true" outlineLevel="0" collapsed="false">
      <c r="A39" s="9" t="s">
        <v>40</v>
      </c>
      <c r="B39" s="9" t="s">
        <v>41</v>
      </c>
      <c r="C39" s="9" t="s">
        <v>42</v>
      </c>
    </row>
    <row r="41" customFormat="false" ht="26.85" hidden="false" customHeight="false" outlineLevel="0" collapsed="false">
      <c r="A41" s="3" t="s">
        <v>43</v>
      </c>
    </row>
    <row r="42" customFormat="false" ht="15" hidden="false" customHeight="true" outlineLevel="0" collapsed="false">
      <c r="A42" s="2" t="s">
        <v>44</v>
      </c>
      <c r="B42" s="2"/>
      <c r="C42" s="2"/>
      <c r="D42" s="2"/>
      <c r="E42" s="2"/>
      <c r="F42" s="2"/>
    </row>
    <row r="43" customFormat="false" ht="15" hidden="false" customHeight="true" outlineLevel="0" collapsed="false">
      <c r="A43" s="2" t="s">
        <v>45</v>
      </c>
      <c r="B43" s="2"/>
      <c r="C43" s="2"/>
      <c r="D43" s="2"/>
      <c r="E43" s="2"/>
      <c r="F43" s="2"/>
    </row>
    <row r="44" customFormat="false" ht="15" hidden="false" customHeight="true" outlineLevel="0" collapsed="false">
      <c r="A44" s="2" t="s">
        <v>46</v>
      </c>
      <c r="B44" s="2"/>
      <c r="C44" s="2"/>
      <c r="D44" s="2"/>
      <c r="E44" s="2"/>
      <c r="F44" s="2"/>
    </row>
    <row r="45" customFormat="false" ht="15" hidden="false" customHeight="true" outlineLevel="0" collapsed="false">
      <c r="A45" s="2" t="s">
        <v>47</v>
      </c>
      <c r="B45" s="2"/>
      <c r="C45" s="2"/>
      <c r="D45" s="2"/>
      <c r="E45" s="2"/>
      <c r="F45" s="2"/>
    </row>
    <row r="46" customFormat="false" ht="15" hidden="false" customHeight="true" outlineLevel="0" collapsed="false">
      <c r="A46" s="2" t="s">
        <v>48</v>
      </c>
      <c r="B46" s="2"/>
      <c r="C46" s="2"/>
      <c r="D46" s="2"/>
      <c r="E46" s="2"/>
      <c r="F46" s="2"/>
    </row>
    <row r="48" customFormat="false" ht="26.85" hidden="false" customHeight="false" outlineLevel="0" collapsed="false">
      <c r="A48" s="3" t="s">
        <v>49</v>
      </c>
    </row>
    <row r="49" customFormat="false" ht="31.5" hidden="false" customHeight="true" outlineLevel="0" collapsed="false">
      <c r="A49" s="10" t="s">
        <v>50</v>
      </c>
      <c r="B49" s="10"/>
      <c r="C49" s="10"/>
      <c r="D49" s="10"/>
      <c r="E49" s="10"/>
      <c r="F49" s="10"/>
    </row>
    <row r="50" customFormat="false" ht="31.5" hidden="false" customHeight="true" outlineLevel="0" collapsed="false">
      <c r="A50" s="10" t="s">
        <v>51</v>
      </c>
      <c r="B50" s="10"/>
      <c r="C50" s="10"/>
      <c r="D50" s="10"/>
      <c r="E50" s="10"/>
      <c r="F50" s="10"/>
    </row>
    <row r="51" customFormat="false" ht="31.5" hidden="false" customHeight="true" outlineLevel="0" collapsed="false">
      <c r="A51" s="10" t="s">
        <v>52</v>
      </c>
      <c r="B51" s="10"/>
      <c r="C51" s="10"/>
      <c r="D51" s="10"/>
      <c r="E51" s="10"/>
      <c r="F51" s="10"/>
    </row>
    <row r="52" customFormat="false" ht="31.5" hidden="false" customHeight="true" outlineLevel="0" collapsed="false">
      <c r="A52" s="10" t="s">
        <v>53</v>
      </c>
      <c r="B52" s="10"/>
      <c r="C52" s="10"/>
      <c r="D52" s="10"/>
      <c r="E52" s="10"/>
      <c r="F52" s="10"/>
    </row>
    <row r="53" customFormat="false" ht="31.5" hidden="false" customHeight="true" outlineLevel="0" collapsed="false">
      <c r="A53" s="10" t="s">
        <v>54</v>
      </c>
      <c r="B53" s="10"/>
      <c r="C53" s="10"/>
      <c r="D53" s="10"/>
      <c r="E53" s="10"/>
      <c r="F53" s="10"/>
    </row>
    <row r="54" customFormat="false" ht="31.5" hidden="false" customHeight="true" outlineLevel="0" collapsed="false">
      <c r="A54" s="10" t="s">
        <v>55</v>
      </c>
      <c r="B54" s="10"/>
      <c r="C54" s="10"/>
      <c r="D54" s="10"/>
      <c r="E54" s="10"/>
      <c r="F54" s="10"/>
    </row>
  </sheetData>
  <mergeCells count="12">
    <mergeCell ref="A2:F2"/>
    <mergeCell ref="A42:F42"/>
    <mergeCell ref="A43:F43"/>
    <mergeCell ref="A44:F44"/>
    <mergeCell ref="A45:F45"/>
    <mergeCell ref="A46:F46"/>
    <mergeCell ref="A49:F49"/>
    <mergeCell ref="A50:F50"/>
    <mergeCell ref="A51:F51"/>
    <mergeCell ref="A52:F52"/>
    <mergeCell ref="A53:F53"/>
    <mergeCell ref="A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16"/>
    <col collapsed="false" customWidth="true" hidden="false" outlineLevel="0" max="4" min="4" style="0" width="40"/>
    <col collapsed="false" customWidth="true" hidden="false" outlineLevel="0" max="5" min="5" style="0" width="16"/>
    <col collapsed="false" customWidth="true" hidden="false" outlineLevel="0" max="6" min="6" style="0" width="40"/>
    <col collapsed="false" customWidth="true" hidden="false" outlineLevel="0" max="7" min="7" style="0" width="22"/>
    <col collapsed="false" customWidth="true" hidden="false" outlineLevel="0" max="8" min="8" style="0" width="26"/>
    <col collapsed="false" customWidth="true" hidden="false" outlineLevel="0" max="9" min="9" style="0" width="36"/>
    <col collapsed="false" customWidth="true" hidden="false" outlineLevel="0" max="11" min="10" style="0" width="9"/>
    <col collapsed="false" customWidth="true" hidden="false" outlineLevel="0" max="12" min="12" style="0" width="10"/>
  </cols>
  <sheetData>
    <row r="1" customFormat="false" ht="30" hidden="false" customHeight="true" outlineLevel="0" collapsed="false">
      <c r="A1" s="11" t="s">
        <v>56</v>
      </c>
      <c r="B1" s="11" t="s">
        <v>57</v>
      </c>
      <c r="C1" s="12" t="s">
        <v>58</v>
      </c>
      <c r="D1" s="12" t="s">
        <v>59</v>
      </c>
      <c r="E1" s="12" t="s">
        <v>60</v>
      </c>
      <c r="F1" s="12" t="s">
        <v>61</v>
      </c>
      <c r="G1" s="11" t="s">
        <v>62</v>
      </c>
      <c r="H1" s="12" t="s">
        <v>63</v>
      </c>
      <c r="I1" s="11" t="s">
        <v>64</v>
      </c>
      <c r="J1" s="12" t="s">
        <v>65</v>
      </c>
      <c r="K1" s="12" t="s">
        <v>66</v>
      </c>
      <c r="L1" s="11" t="s">
        <v>67</v>
      </c>
    </row>
    <row r="2" customFormat="false" ht="26.85" hidden="false" customHeight="false" outlineLevel="0" collapsed="false">
      <c r="A2" s="13" t="s">
        <v>68</v>
      </c>
      <c r="B2" s="14" t="s">
        <v>69</v>
      </c>
      <c r="C2" s="15" t="s">
        <v>7</v>
      </c>
      <c r="D2" s="13" t="s">
        <v>70</v>
      </c>
      <c r="E2" s="15" t="s">
        <v>7</v>
      </c>
      <c r="F2" s="14" t="s">
        <v>71</v>
      </c>
      <c r="G2" s="13" t="s">
        <v>72</v>
      </c>
      <c r="H2" s="14" t="s">
        <v>73</v>
      </c>
      <c r="I2" s="13" t="s">
        <v>74</v>
      </c>
      <c r="J2" s="14" t="s">
        <v>7</v>
      </c>
      <c r="K2" s="14" t="s">
        <v>7</v>
      </c>
      <c r="L2" s="14" t="str">
        <f aca="false">IF(J2=K2,"一致","不一致")</f>
        <v>一致</v>
      </c>
    </row>
    <row r="3" customFormat="false" ht="26.85" hidden="false" customHeight="false" outlineLevel="0" collapsed="false">
      <c r="A3" s="16" t="s">
        <v>75</v>
      </c>
      <c r="B3" s="14" t="s">
        <v>76</v>
      </c>
      <c r="C3" s="17" t="s">
        <v>77</v>
      </c>
      <c r="D3" s="14" t="s">
        <v>78</v>
      </c>
      <c r="E3" s="15" t="s">
        <v>7</v>
      </c>
      <c r="F3" s="14" t="s">
        <v>79</v>
      </c>
      <c r="G3" s="18" t="s">
        <v>80</v>
      </c>
      <c r="H3" s="14" t="s">
        <v>81</v>
      </c>
      <c r="I3" s="14" t="s">
        <v>82</v>
      </c>
      <c r="J3" s="14" t="s">
        <v>6</v>
      </c>
      <c r="K3" s="14" t="s">
        <v>7</v>
      </c>
      <c r="L3" s="14" t="str">
        <f aca="false">IF(J3=K3,"一致","不一致")</f>
        <v>不一致</v>
      </c>
    </row>
    <row r="4" customFormat="false" ht="26.85" hidden="false" customHeight="false" outlineLevel="0" collapsed="false">
      <c r="A4" s="13" t="s">
        <v>83</v>
      </c>
      <c r="B4" s="14" t="s">
        <v>84</v>
      </c>
      <c r="C4" s="15" t="s">
        <v>7</v>
      </c>
      <c r="D4" s="13" t="s">
        <v>85</v>
      </c>
      <c r="E4" s="15" t="s">
        <v>7</v>
      </c>
      <c r="F4" s="13" t="s">
        <v>86</v>
      </c>
      <c r="G4" s="13" t="s">
        <v>72</v>
      </c>
      <c r="H4" s="14" t="s">
        <v>87</v>
      </c>
      <c r="I4" s="13" t="s">
        <v>88</v>
      </c>
      <c r="J4" s="14" t="s">
        <v>7</v>
      </c>
      <c r="K4" s="14" t="s">
        <v>7</v>
      </c>
      <c r="L4" s="14" t="str">
        <f aca="false">IF(J4=K4,"一致","不一致")</f>
        <v>一致</v>
      </c>
    </row>
    <row r="5" customFormat="false" ht="26.85" hidden="false" customHeight="false" outlineLevel="0" collapsed="false">
      <c r="A5" s="16" t="s">
        <v>89</v>
      </c>
      <c r="B5" s="14" t="s">
        <v>90</v>
      </c>
      <c r="C5" s="17" t="s">
        <v>6</v>
      </c>
      <c r="D5" s="13" t="s">
        <v>72</v>
      </c>
      <c r="E5" s="15" t="s">
        <v>7</v>
      </c>
      <c r="F5" s="13" t="s">
        <v>91</v>
      </c>
      <c r="G5" s="18" t="s">
        <v>92</v>
      </c>
      <c r="H5" s="14" t="s">
        <v>93</v>
      </c>
      <c r="I5" s="13" t="s">
        <v>94</v>
      </c>
      <c r="J5" s="14" t="s">
        <v>6</v>
      </c>
      <c r="K5" s="14" t="s">
        <v>7</v>
      </c>
      <c r="L5" s="14" t="str">
        <f aca="false">IF(J5=K5,"一致","不一致")</f>
        <v>不一致</v>
      </c>
    </row>
    <row r="6" customFormat="false" ht="26.85" hidden="false" customHeight="false" outlineLevel="0" collapsed="false">
      <c r="A6" s="13" t="s">
        <v>95</v>
      </c>
      <c r="B6" s="14" t="s">
        <v>96</v>
      </c>
      <c r="C6" s="15" t="s">
        <v>7</v>
      </c>
      <c r="D6" s="13" t="s">
        <v>97</v>
      </c>
      <c r="E6" s="15" t="s">
        <v>7</v>
      </c>
      <c r="F6" s="13" t="s">
        <v>97</v>
      </c>
      <c r="G6" s="13" t="s">
        <v>72</v>
      </c>
      <c r="H6" s="14" t="s">
        <v>98</v>
      </c>
      <c r="I6" s="13" t="s">
        <v>99</v>
      </c>
      <c r="J6" s="14" t="s">
        <v>7</v>
      </c>
      <c r="K6" s="14" t="s">
        <v>7</v>
      </c>
      <c r="L6" s="14" t="str">
        <f aca="false">IF(J6=K6,"一致","不一致")</f>
        <v>一致</v>
      </c>
    </row>
    <row r="7" customFormat="false" ht="26.85" hidden="false" customHeight="false" outlineLevel="0" collapsed="false">
      <c r="A7" s="16" t="s">
        <v>100</v>
      </c>
      <c r="B7" s="14" t="s">
        <v>96</v>
      </c>
      <c r="C7" s="17" t="s">
        <v>6</v>
      </c>
      <c r="D7" s="13" t="s">
        <v>72</v>
      </c>
      <c r="E7" s="15" t="s">
        <v>7</v>
      </c>
      <c r="F7" s="13" t="s">
        <v>101</v>
      </c>
      <c r="G7" s="18" t="s">
        <v>92</v>
      </c>
      <c r="H7" s="14" t="s">
        <v>102</v>
      </c>
      <c r="I7" s="14" t="s">
        <v>103</v>
      </c>
      <c r="J7" s="14" t="s">
        <v>6</v>
      </c>
      <c r="K7" s="14" t="s">
        <v>7</v>
      </c>
      <c r="L7" s="14" t="str">
        <f aca="false">IF(J7=K7,"一致","不一致")</f>
        <v>不一致</v>
      </c>
    </row>
    <row r="8" customFormat="false" ht="26.85" hidden="false" customHeight="false" outlineLevel="0" collapsed="false">
      <c r="A8" s="13" t="s">
        <v>104</v>
      </c>
      <c r="B8" s="14" t="s">
        <v>105</v>
      </c>
      <c r="C8" s="17" t="s">
        <v>6</v>
      </c>
      <c r="D8" s="13" t="s">
        <v>72</v>
      </c>
      <c r="E8" s="17" t="s">
        <v>6</v>
      </c>
      <c r="F8" s="13" t="s">
        <v>72</v>
      </c>
      <c r="G8" s="13" t="s">
        <v>72</v>
      </c>
      <c r="H8" s="14" t="s">
        <v>106</v>
      </c>
      <c r="I8" s="14" t="s">
        <v>107</v>
      </c>
      <c r="J8" s="14" t="s">
        <v>6</v>
      </c>
      <c r="K8" s="14" t="s">
        <v>6</v>
      </c>
      <c r="L8" s="14" t="str">
        <f aca="false">IF(J8=K8,"一致","不一致")</f>
        <v>一致</v>
      </c>
    </row>
    <row r="9" customFormat="false" ht="26.85" hidden="false" customHeight="false" outlineLevel="0" collapsed="false">
      <c r="A9" s="13" t="s">
        <v>108</v>
      </c>
      <c r="B9" s="14" t="s">
        <v>69</v>
      </c>
      <c r="C9" s="15" t="s">
        <v>7</v>
      </c>
      <c r="D9" s="13" t="s">
        <v>109</v>
      </c>
      <c r="E9" s="15" t="s">
        <v>7</v>
      </c>
      <c r="F9" s="14" t="s">
        <v>110</v>
      </c>
      <c r="G9" s="13" t="s">
        <v>72</v>
      </c>
      <c r="H9" s="14" t="s">
        <v>111</v>
      </c>
      <c r="I9" s="14" t="s">
        <v>112</v>
      </c>
      <c r="J9" s="14" t="s">
        <v>7</v>
      </c>
      <c r="K9" s="14" t="s">
        <v>7</v>
      </c>
      <c r="L9" s="14" t="str">
        <f aca="false">IF(J9=K9,"一致","不一致")</f>
        <v>一致</v>
      </c>
    </row>
    <row r="10" customFormat="false" ht="39.55" hidden="false" customHeight="false" outlineLevel="0" collapsed="false">
      <c r="A10" s="13" t="s">
        <v>113</v>
      </c>
      <c r="B10" s="14" t="s">
        <v>114</v>
      </c>
      <c r="C10" s="15" t="s">
        <v>7</v>
      </c>
      <c r="D10" s="14" t="s">
        <v>115</v>
      </c>
      <c r="E10" s="15" t="s">
        <v>7</v>
      </c>
      <c r="F10" s="14" t="s">
        <v>116</v>
      </c>
      <c r="G10" s="13" t="s">
        <v>72</v>
      </c>
      <c r="H10" s="14" t="s">
        <v>117</v>
      </c>
      <c r="I10" s="14" t="s">
        <v>118</v>
      </c>
      <c r="J10" s="14" t="s">
        <v>7</v>
      </c>
      <c r="K10" s="14" t="s">
        <v>7</v>
      </c>
      <c r="L10" s="14" t="str">
        <f aca="false">IF(J10=K10,"一致","不一致")</f>
        <v>一致</v>
      </c>
    </row>
    <row r="11" customFormat="false" ht="26.85" hidden="false" customHeight="false" outlineLevel="0" collapsed="false">
      <c r="A11" s="13" t="s">
        <v>119</v>
      </c>
      <c r="B11" s="14" t="s">
        <v>120</v>
      </c>
      <c r="C11" s="15" t="s">
        <v>7</v>
      </c>
      <c r="D11" s="13" t="s">
        <v>121</v>
      </c>
      <c r="E11" s="15" t="s">
        <v>7</v>
      </c>
      <c r="F11" s="13" t="s">
        <v>122</v>
      </c>
      <c r="G11" s="13" t="s">
        <v>72</v>
      </c>
      <c r="H11" s="14" t="s">
        <v>123</v>
      </c>
      <c r="I11" s="14" t="s">
        <v>124</v>
      </c>
      <c r="J11" s="14" t="s">
        <v>7</v>
      </c>
      <c r="K11" s="14" t="s">
        <v>7</v>
      </c>
      <c r="L11" s="14" t="str">
        <f aca="false">IF(J11=K11,"一致","不一致")</f>
        <v>一致</v>
      </c>
    </row>
    <row r="12" customFormat="false" ht="26.85" hidden="false" customHeight="false" outlineLevel="0" collapsed="false">
      <c r="A12" s="16" t="s">
        <v>125</v>
      </c>
      <c r="B12" s="14" t="s">
        <v>96</v>
      </c>
      <c r="C12" s="15" t="s">
        <v>7</v>
      </c>
      <c r="D12" s="14" t="s">
        <v>126</v>
      </c>
      <c r="E12" s="19" t="s">
        <v>127</v>
      </c>
      <c r="F12" s="14" t="s">
        <v>128</v>
      </c>
      <c r="G12" s="18" t="s">
        <v>129</v>
      </c>
      <c r="H12" s="14" t="s">
        <v>130</v>
      </c>
      <c r="I12" s="14" t="s">
        <v>131</v>
      </c>
      <c r="J12" s="14" t="s">
        <v>7</v>
      </c>
      <c r="K12" s="14" t="s">
        <v>8</v>
      </c>
      <c r="L12" s="14" t="str">
        <f aca="false">IF(J12=K12,"一致","不一致")</f>
        <v>不一致</v>
      </c>
    </row>
    <row r="13" customFormat="false" ht="26.85" hidden="false" customHeight="false" outlineLevel="0" collapsed="false">
      <c r="A13" s="13" t="s">
        <v>132</v>
      </c>
      <c r="B13" s="14" t="s">
        <v>133</v>
      </c>
      <c r="C13" s="15" t="s">
        <v>7</v>
      </c>
      <c r="D13" s="14" t="s">
        <v>134</v>
      </c>
      <c r="E13" s="15" t="s">
        <v>7</v>
      </c>
      <c r="F13" s="14" t="s">
        <v>135</v>
      </c>
      <c r="G13" s="13" t="s">
        <v>72</v>
      </c>
      <c r="H13" s="14" t="s">
        <v>98</v>
      </c>
      <c r="I13" s="13" t="s">
        <v>136</v>
      </c>
      <c r="J13" s="14" t="s">
        <v>7</v>
      </c>
      <c r="K13" s="14" t="s">
        <v>7</v>
      </c>
      <c r="L13" s="14" t="str">
        <f aca="false">IF(J13=K13,"一致","不一致")</f>
        <v>一致</v>
      </c>
    </row>
    <row r="14" customFormat="false" ht="39.55" hidden="false" customHeight="false" outlineLevel="0" collapsed="false">
      <c r="A14" s="13" t="s">
        <v>137</v>
      </c>
      <c r="B14" s="14" t="s">
        <v>138</v>
      </c>
      <c r="C14" s="19" t="s">
        <v>8</v>
      </c>
      <c r="D14" s="14" t="s">
        <v>139</v>
      </c>
      <c r="E14" s="19" t="s">
        <v>8</v>
      </c>
      <c r="F14" s="13" t="s">
        <v>140</v>
      </c>
      <c r="G14" s="13" t="s">
        <v>72</v>
      </c>
      <c r="H14" s="13" t="s">
        <v>72</v>
      </c>
      <c r="I14" s="13" t="s">
        <v>141</v>
      </c>
      <c r="J14" s="14" t="s">
        <v>8</v>
      </c>
      <c r="K14" s="14" t="s">
        <v>8</v>
      </c>
      <c r="L14" s="14" t="str">
        <f aca="false">IF(J14=K14,"一致","不一致")</f>
        <v>一致</v>
      </c>
    </row>
    <row r="15" customFormat="false" ht="39.55" hidden="false" customHeight="false" outlineLevel="0" collapsed="false">
      <c r="A15" s="13" t="s">
        <v>142</v>
      </c>
      <c r="B15" s="14" t="s">
        <v>143</v>
      </c>
      <c r="C15" s="19" t="s">
        <v>127</v>
      </c>
      <c r="D15" s="14" t="s">
        <v>144</v>
      </c>
      <c r="E15" s="19" t="s">
        <v>127</v>
      </c>
      <c r="F15" s="14" t="s">
        <v>145</v>
      </c>
      <c r="G15" s="13" t="s">
        <v>72</v>
      </c>
      <c r="H15" s="13" t="s">
        <v>72</v>
      </c>
      <c r="I15" s="14" t="s">
        <v>146</v>
      </c>
      <c r="J15" s="14" t="s">
        <v>8</v>
      </c>
      <c r="K15" s="14" t="s">
        <v>8</v>
      </c>
      <c r="L15" s="14" t="str">
        <f aca="false">IF(J15=K15,"一致","不一致")</f>
        <v>一致</v>
      </c>
    </row>
    <row r="16" customFormat="false" ht="26.85" hidden="false" customHeight="false" outlineLevel="0" collapsed="false">
      <c r="A16" s="13" t="s">
        <v>147</v>
      </c>
      <c r="B16" s="14" t="s">
        <v>148</v>
      </c>
      <c r="C16" s="15" t="s">
        <v>7</v>
      </c>
      <c r="D16" s="13" t="s">
        <v>149</v>
      </c>
      <c r="E16" s="15" t="s">
        <v>7</v>
      </c>
      <c r="F16" s="14" t="s">
        <v>150</v>
      </c>
      <c r="G16" s="13" t="s">
        <v>72</v>
      </c>
      <c r="H16" s="14" t="s">
        <v>151</v>
      </c>
      <c r="I16" s="13" t="s">
        <v>152</v>
      </c>
      <c r="J16" s="14" t="s">
        <v>7</v>
      </c>
      <c r="K16" s="14" t="s">
        <v>7</v>
      </c>
      <c r="L16" s="14" t="str">
        <f aca="false">IF(J16=K16,"一致","不一致")</f>
        <v>一致</v>
      </c>
    </row>
    <row r="17" customFormat="false" ht="26.85" hidden="false" customHeight="false" outlineLevel="0" collapsed="false">
      <c r="A17" s="16" t="s">
        <v>153</v>
      </c>
      <c r="B17" s="14" t="s">
        <v>154</v>
      </c>
      <c r="C17" s="19" t="s">
        <v>8</v>
      </c>
      <c r="D17" s="13" t="s">
        <v>155</v>
      </c>
      <c r="E17" s="15" t="s">
        <v>156</v>
      </c>
      <c r="F17" s="14" t="s">
        <v>157</v>
      </c>
      <c r="G17" s="18" t="s">
        <v>158</v>
      </c>
      <c r="H17" s="13" t="s">
        <v>72</v>
      </c>
      <c r="I17" s="13" t="s">
        <v>159</v>
      </c>
      <c r="J17" s="14" t="s">
        <v>8</v>
      </c>
      <c r="K17" s="14" t="s">
        <v>7</v>
      </c>
      <c r="L17" s="14" t="str">
        <f aca="false">IF(J17=K17,"一致","不一致")</f>
        <v>不一致</v>
      </c>
    </row>
    <row r="18" customFormat="false" ht="26.85" hidden="false" customHeight="false" outlineLevel="0" collapsed="false">
      <c r="A18" s="13" t="s">
        <v>160</v>
      </c>
      <c r="B18" s="14" t="s">
        <v>161</v>
      </c>
      <c r="C18" s="15" t="s">
        <v>7</v>
      </c>
      <c r="D18" s="14" t="s">
        <v>162</v>
      </c>
      <c r="E18" s="15" t="s">
        <v>7</v>
      </c>
      <c r="F18" s="13" t="s">
        <v>163</v>
      </c>
      <c r="G18" s="13" t="s">
        <v>72</v>
      </c>
      <c r="H18" s="14" t="s">
        <v>98</v>
      </c>
      <c r="I18" s="13" t="s">
        <v>164</v>
      </c>
      <c r="J18" s="14" t="s">
        <v>7</v>
      </c>
      <c r="K18" s="14" t="s">
        <v>7</v>
      </c>
      <c r="L18" s="14" t="str">
        <f aca="false">IF(J18=K18,"一致","不一致")</f>
        <v>一致</v>
      </c>
    </row>
    <row r="19" customFormat="false" ht="39.55" hidden="false" customHeight="false" outlineLevel="0" collapsed="false">
      <c r="A19" s="13" t="s">
        <v>165</v>
      </c>
      <c r="B19" s="14" t="s">
        <v>90</v>
      </c>
      <c r="C19" s="15" t="s">
        <v>7</v>
      </c>
      <c r="D19" s="13" t="s">
        <v>166</v>
      </c>
      <c r="E19" s="15" t="s">
        <v>7</v>
      </c>
      <c r="F19" s="13" t="s">
        <v>167</v>
      </c>
      <c r="G19" s="13" t="s">
        <v>72</v>
      </c>
      <c r="H19" s="14" t="s">
        <v>168</v>
      </c>
      <c r="I19" s="13" t="s">
        <v>169</v>
      </c>
      <c r="J19" s="14" t="s">
        <v>7</v>
      </c>
      <c r="K19" s="14" t="s">
        <v>7</v>
      </c>
      <c r="L19" s="14" t="str">
        <f aca="false">IF(J19=K19,"一致","不一致")</f>
        <v>一致</v>
      </c>
    </row>
    <row r="20" customFormat="false" ht="26.85" hidden="false" customHeight="false" outlineLevel="0" collapsed="false">
      <c r="A20" s="13" t="s">
        <v>170</v>
      </c>
      <c r="B20" s="14" t="s">
        <v>171</v>
      </c>
      <c r="C20" s="15" t="s">
        <v>7</v>
      </c>
      <c r="D20" s="14" t="s">
        <v>172</v>
      </c>
      <c r="E20" s="15" t="s">
        <v>7</v>
      </c>
      <c r="F20" s="14" t="s">
        <v>173</v>
      </c>
      <c r="G20" s="13" t="s">
        <v>72</v>
      </c>
      <c r="H20" s="14" t="s">
        <v>98</v>
      </c>
      <c r="I20" s="13" t="s">
        <v>174</v>
      </c>
      <c r="J20" s="14" t="s">
        <v>7</v>
      </c>
      <c r="K20" s="14" t="s">
        <v>7</v>
      </c>
      <c r="L20" s="14" t="str">
        <f aca="false">IF(J20=K20,"一致","不一致")</f>
        <v>一致</v>
      </c>
    </row>
    <row r="21" customFormat="false" ht="26.85" hidden="false" customHeight="false" outlineLevel="0" collapsed="false">
      <c r="A21" s="13" t="s">
        <v>175</v>
      </c>
      <c r="B21" s="14" t="s">
        <v>176</v>
      </c>
      <c r="C21" s="15" t="s">
        <v>7</v>
      </c>
      <c r="D21" s="14" t="s">
        <v>177</v>
      </c>
      <c r="E21" s="15" t="s">
        <v>7</v>
      </c>
      <c r="F21" s="14" t="s">
        <v>178</v>
      </c>
      <c r="G21" s="13" t="s">
        <v>72</v>
      </c>
      <c r="H21" s="14" t="s">
        <v>179</v>
      </c>
      <c r="I21" s="13" t="s">
        <v>180</v>
      </c>
      <c r="J21" s="14" t="s">
        <v>7</v>
      </c>
      <c r="K21" s="14" t="s">
        <v>7</v>
      </c>
      <c r="L21" s="14" t="str">
        <f aca="false">IF(J21=K21,"一致","不一致")</f>
        <v>一致</v>
      </c>
    </row>
    <row r="22" customFormat="false" ht="39.55" hidden="false" customHeight="false" outlineLevel="0" collapsed="false">
      <c r="A22" s="13" t="s">
        <v>181</v>
      </c>
      <c r="B22" s="14" t="s">
        <v>96</v>
      </c>
      <c r="C22" s="19" t="s">
        <v>8</v>
      </c>
      <c r="D22" s="13" t="s">
        <v>182</v>
      </c>
      <c r="E22" s="19" t="s">
        <v>8</v>
      </c>
      <c r="F22" s="14" t="s">
        <v>183</v>
      </c>
      <c r="G22" s="13" t="s">
        <v>72</v>
      </c>
      <c r="H22" s="13" t="s">
        <v>72</v>
      </c>
      <c r="I22" s="13" t="s">
        <v>184</v>
      </c>
      <c r="J22" s="14" t="s">
        <v>8</v>
      </c>
      <c r="K22" s="14" t="s">
        <v>8</v>
      </c>
      <c r="L22" s="14" t="str">
        <f aca="false">IF(J22=K22,"一致","不一致")</f>
        <v>一致</v>
      </c>
    </row>
    <row r="23" customFormat="false" ht="26.85" hidden="false" customHeight="false" outlineLevel="0" collapsed="false">
      <c r="A23" s="13" t="s">
        <v>185</v>
      </c>
      <c r="B23" s="14" t="s">
        <v>96</v>
      </c>
      <c r="C23" s="15" t="s">
        <v>7</v>
      </c>
      <c r="D23" s="13" t="s">
        <v>186</v>
      </c>
      <c r="E23" s="15" t="s">
        <v>7</v>
      </c>
      <c r="F23" s="13" t="s">
        <v>187</v>
      </c>
      <c r="G23" s="13" t="s">
        <v>72</v>
      </c>
      <c r="H23" s="14" t="s">
        <v>98</v>
      </c>
      <c r="I23" s="13" t="s">
        <v>188</v>
      </c>
      <c r="J23" s="14" t="s">
        <v>7</v>
      </c>
      <c r="K23" s="14" t="s">
        <v>7</v>
      </c>
      <c r="L23" s="14" t="str">
        <f aca="false">IF(J23=K23,"一致","不一致")</f>
        <v>一致</v>
      </c>
    </row>
    <row r="24" customFormat="false" ht="26.85" hidden="false" customHeight="false" outlineLevel="0" collapsed="false">
      <c r="A24" s="13" t="s">
        <v>189</v>
      </c>
      <c r="B24" s="14" t="s">
        <v>190</v>
      </c>
      <c r="C24" s="19" t="s">
        <v>8</v>
      </c>
      <c r="D24" s="14" t="s">
        <v>191</v>
      </c>
      <c r="E24" s="19" t="s">
        <v>8</v>
      </c>
      <c r="F24" s="14" t="s">
        <v>192</v>
      </c>
      <c r="G24" s="13" t="s">
        <v>72</v>
      </c>
      <c r="H24" s="13" t="s">
        <v>72</v>
      </c>
      <c r="I24" s="13" t="s">
        <v>193</v>
      </c>
      <c r="J24" s="14" t="s">
        <v>8</v>
      </c>
      <c r="K24" s="14" t="s">
        <v>8</v>
      </c>
      <c r="L24" s="14" t="str">
        <f aca="false">IF(J24=K24,"一致","不一致")</f>
        <v>一致</v>
      </c>
    </row>
    <row r="25" customFormat="false" ht="39.55" hidden="false" customHeight="false" outlineLevel="0" collapsed="false">
      <c r="A25" s="16" t="s">
        <v>194</v>
      </c>
      <c r="B25" s="14" t="s">
        <v>90</v>
      </c>
      <c r="C25" s="17" t="s">
        <v>6</v>
      </c>
      <c r="D25" s="13" t="s">
        <v>72</v>
      </c>
      <c r="E25" s="15" t="s">
        <v>7</v>
      </c>
      <c r="F25" s="13" t="s">
        <v>195</v>
      </c>
      <c r="G25" s="18" t="s">
        <v>92</v>
      </c>
      <c r="H25" s="14" t="s">
        <v>196</v>
      </c>
      <c r="I25" s="13" t="s">
        <v>197</v>
      </c>
      <c r="J25" s="14" t="s">
        <v>6</v>
      </c>
      <c r="K25" s="14" t="s">
        <v>7</v>
      </c>
      <c r="L25" s="14" t="str">
        <f aca="false">IF(J25=K25,"一致","不一致")</f>
        <v>不一致</v>
      </c>
    </row>
    <row r="26" customFormat="false" ht="26.85" hidden="false" customHeight="false" outlineLevel="0" collapsed="false">
      <c r="A26" s="13" t="s">
        <v>198</v>
      </c>
      <c r="B26" s="14" t="s">
        <v>199</v>
      </c>
      <c r="C26" s="15" t="s">
        <v>7</v>
      </c>
      <c r="D26" s="13" t="s">
        <v>200</v>
      </c>
      <c r="E26" s="15" t="s">
        <v>7</v>
      </c>
      <c r="F26" s="13" t="s">
        <v>201</v>
      </c>
      <c r="G26" s="13" t="s">
        <v>72</v>
      </c>
      <c r="H26" s="14" t="s">
        <v>98</v>
      </c>
      <c r="I26" s="13" t="s">
        <v>202</v>
      </c>
      <c r="J26" s="14" t="s">
        <v>7</v>
      </c>
      <c r="K26" s="14" t="s">
        <v>7</v>
      </c>
      <c r="L26" s="14" t="str">
        <f aca="false">IF(J26=K26,"一致","不一致")</f>
        <v>一致</v>
      </c>
    </row>
    <row r="27" customFormat="false" ht="26.85" hidden="false" customHeight="false" outlineLevel="0" collapsed="false">
      <c r="A27" s="16" t="s">
        <v>203</v>
      </c>
      <c r="B27" s="13" t="s">
        <v>204</v>
      </c>
      <c r="C27" s="17" t="s">
        <v>6</v>
      </c>
      <c r="D27" s="13" t="s">
        <v>72</v>
      </c>
      <c r="E27" s="15" t="s">
        <v>7</v>
      </c>
      <c r="F27" s="13" t="s">
        <v>205</v>
      </c>
      <c r="G27" s="18" t="s">
        <v>92</v>
      </c>
      <c r="H27" s="14" t="s">
        <v>206</v>
      </c>
      <c r="I27" s="14" t="s">
        <v>207</v>
      </c>
      <c r="J27" s="14" t="s">
        <v>6</v>
      </c>
      <c r="K27" s="14" t="s">
        <v>7</v>
      </c>
      <c r="L27" s="14" t="str">
        <f aca="false">IF(J27=K27,"一致","不一致")</f>
        <v>不一致</v>
      </c>
    </row>
    <row r="28" customFormat="false" ht="39.55" hidden="false" customHeight="false" outlineLevel="0" collapsed="false">
      <c r="A28" s="13" t="s">
        <v>208</v>
      </c>
      <c r="B28" s="14" t="s">
        <v>209</v>
      </c>
      <c r="C28" s="17" t="s">
        <v>210</v>
      </c>
      <c r="D28" s="14" t="s">
        <v>211</v>
      </c>
      <c r="E28" s="17" t="s">
        <v>212</v>
      </c>
      <c r="F28" s="14" t="s">
        <v>213</v>
      </c>
      <c r="G28" s="13" t="s">
        <v>72</v>
      </c>
      <c r="H28" s="14" t="s">
        <v>214</v>
      </c>
      <c r="I28" s="13" t="s">
        <v>215</v>
      </c>
      <c r="J28" s="14" t="s">
        <v>6</v>
      </c>
      <c r="K28" s="14" t="s">
        <v>6</v>
      </c>
      <c r="L28" s="14" t="str">
        <f aca="false">IF(J28=K28,"一致","不一致")</f>
        <v>一致</v>
      </c>
    </row>
    <row r="29" customFormat="false" ht="26.85" hidden="false" customHeight="false" outlineLevel="0" collapsed="false">
      <c r="A29" s="13" t="s">
        <v>216</v>
      </c>
      <c r="B29" s="14" t="s">
        <v>217</v>
      </c>
      <c r="C29" s="19" t="s">
        <v>8</v>
      </c>
      <c r="D29" s="14" t="s">
        <v>218</v>
      </c>
      <c r="E29" s="19" t="s">
        <v>8</v>
      </c>
      <c r="F29" s="14" t="s">
        <v>219</v>
      </c>
      <c r="G29" s="13" t="s">
        <v>72</v>
      </c>
      <c r="H29" s="13" t="s">
        <v>72</v>
      </c>
      <c r="I29" s="13" t="s">
        <v>220</v>
      </c>
      <c r="J29" s="14" t="s">
        <v>8</v>
      </c>
      <c r="K29" s="14" t="s">
        <v>8</v>
      </c>
      <c r="L29" s="14" t="str">
        <f aca="false">IF(J29=K29,"一致","不一致")</f>
        <v>一致</v>
      </c>
    </row>
    <row r="30" customFormat="false" ht="26.85" hidden="false" customHeight="false" outlineLevel="0" collapsed="false">
      <c r="A30" s="16" t="s">
        <v>221</v>
      </c>
      <c r="B30" s="14" t="s">
        <v>222</v>
      </c>
      <c r="C30" s="17" t="s">
        <v>223</v>
      </c>
      <c r="D30" s="13" t="s">
        <v>72</v>
      </c>
      <c r="E30" s="15" t="s">
        <v>7</v>
      </c>
      <c r="F30" s="14" t="s">
        <v>224</v>
      </c>
      <c r="G30" s="18" t="s">
        <v>92</v>
      </c>
      <c r="H30" s="14" t="s">
        <v>225</v>
      </c>
      <c r="I30" s="14" t="s">
        <v>226</v>
      </c>
      <c r="J30" s="14" t="s">
        <v>6</v>
      </c>
      <c r="K30" s="14" t="s">
        <v>7</v>
      </c>
      <c r="L30" s="14" t="str">
        <f aca="false">IF(J30=K30,"一致","不一致")</f>
        <v>不一致</v>
      </c>
    </row>
    <row r="31" customFormat="false" ht="26.85" hidden="false" customHeight="false" outlineLevel="0" collapsed="false">
      <c r="A31" s="13" t="s">
        <v>227</v>
      </c>
      <c r="B31" s="14" t="s">
        <v>228</v>
      </c>
      <c r="C31" s="15" t="s">
        <v>7</v>
      </c>
      <c r="D31" s="13" t="s">
        <v>229</v>
      </c>
      <c r="E31" s="15" t="s">
        <v>7</v>
      </c>
      <c r="F31" s="14" t="s">
        <v>110</v>
      </c>
      <c r="G31" s="13" t="s">
        <v>72</v>
      </c>
      <c r="H31" s="14" t="s">
        <v>230</v>
      </c>
      <c r="I31" s="14" t="s">
        <v>231</v>
      </c>
      <c r="J31" s="14" t="s">
        <v>7</v>
      </c>
      <c r="K31" s="14" t="s">
        <v>7</v>
      </c>
      <c r="L31" s="14" t="str">
        <f aca="false">IF(J31=K31,"一致","不一致")</f>
        <v>一致</v>
      </c>
    </row>
    <row r="32" customFormat="false" ht="39.55" hidden="false" customHeight="false" outlineLevel="0" collapsed="false">
      <c r="A32" s="13" t="s">
        <v>232</v>
      </c>
      <c r="B32" s="14" t="s">
        <v>96</v>
      </c>
      <c r="C32" s="19" t="s">
        <v>8</v>
      </c>
      <c r="D32" s="13" t="s">
        <v>233</v>
      </c>
      <c r="E32" s="19" t="s">
        <v>8</v>
      </c>
      <c r="F32" s="14" t="s">
        <v>234</v>
      </c>
      <c r="G32" s="13" t="s">
        <v>72</v>
      </c>
      <c r="H32" s="13" t="s">
        <v>72</v>
      </c>
      <c r="I32" s="13" t="s">
        <v>235</v>
      </c>
      <c r="J32" s="14" t="s">
        <v>8</v>
      </c>
      <c r="K32" s="14" t="s">
        <v>8</v>
      </c>
      <c r="L32" s="14" t="str">
        <f aca="false">IF(J32=K32,"一致","不一致")</f>
        <v>一致</v>
      </c>
    </row>
    <row r="33" customFormat="false" ht="26.85" hidden="false" customHeight="false" outlineLevel="0" collapsed="false">
      <c r="A33" s="13" t="s">
        <v>236</v>
      </c>
      <c r="B33" s="14" t="s">
        <v>237</v>
      </c>
      <c r="C33" s="17" t="s">
        <v>238</v>
      </c>
      <c r="D33" s="14" t="s">
        <v>239</v>
      </c>
      <c r="E33" s="17" t="s">
        <v>240</v>
      </c>
      <c r="F33" s="14" t="s">
        <v>241</v>
      </c>
      <c r="G33" s="13" t="s">
        <v>72</v>
      </c>
      <c r="H33" s="14" t="s">
        <v>242</v>
      </c>
      <c r="I33" s="13" t="s">
        <v>243</v>
      </c>
      <c r="J33" s="14" t="s">
        <v>6</v>
      </c>
      <c r="K33" s="14" t="s">
        <v>6</v>
      </c>
      <c r="L33" s="14" t="str">
        <f aca="false">IF(J33=K33,"一致","不一致")</f>
        <v>一致</v>
      </c>
    </row>
    <row r="34" customFormat="false" ht="26.85" hidden="false" customHeight="false" outlineLevel="0" collapsed="false">
      <c r="A34" s="13" t="s">
        <v>244</v>
      </c>
      <c r="B34" s="14" t="s">
        <v>245</v>
      </c>
      <c r="C34" s="15" t="s">
        <v>7</v>
      </c>
      <c r="D34" s="13" t="s">
        <v>246</v>
      </c>
      <c r="E34" s="15" t="s">
        <v>7</v>
      </c>
      <c r="F34" s="14" t="s">
        <v>135</v>
      </c>
      <c r="G34" s="13" t="s">
        <v>72</v>
      </c>
      <c r="H34" s="14" t="s">
        <v>98</v>
      </c>
      <c r="I34" s="14" t="s">
        <v>247</v>
      </c>
      <c r="J34" s="14" t="s">
        <v>7</v>
      </c>
      <c r="K34" s="14" t="s">
        <v>7</v>
      </c>
      <c r="L34" s="14" t="str">
        <f aca="false">IF(J34=K34,"一致","不一致")</f>
        <v>一致</v>
      </c>
    </row>
    <row r="35" customFormat="false" ht="38.05" hidden="false" customHeight="false" outlineLevel="0" collapsed="false">
      <c r="A35" s="16" t="s">
        <v>248</v>
      </c>
      <c r="B35" s="14" t="s">
        <v>249</v>
      </c>
      <c r="C35" s="17" t="s">
        <v>250</v>
      </c>
      <c r="D35" s="13" t="s">
        <v>251</v>
      </c>
      <c r="E35" s="15" t="s">
        <v>7</v>
      </c>
      <c r="F35" s="14" t="s">
        <v>252</v>
      </c>
      <c r="G35" s="18" t="s">
        <v>253</v>
      </c>
      <c r="H35" s="14" t="s">
        <v>98</v>
      </c>
      <c r="I35" s="14" t="s">
        <v>254</v>
      </c>
      <c r="J35" s="14" t="s">
        <v>6</v>
      </c>
      <c r="K35" s="14" t="s">
        <v>7</v>
      </c>
      <c r="L35" s="14" t="str">
        <f aca="false">IF(J35=K35,"一致","不一致")</f>
        <v>不一致</v>
      </c>
    </row>
    <row r="36" customFormat="false" ht="39.55" hidden="false" customHeight="false" outlineLevel="0" collapsed="false">
      <c r="A36" s="13" t="s">
        <v>255</v>
      </c>
      <c r="B36" s="14" t="s">
        <v>96</v>
      </c>
      <c r="C36" s="19" t="s">
        <v>127</v>
      </c>
      <c r="D36" s="13" t="s">
        <v>256</v>
      </c>
      <c r="E36" s="19" t="s">
        <v>127</v>
      </c>
      <c r="F36" s="14" t="s">
        <v>234</v>
      </c>
      <c r="G36" s="13" t="s">
        <v>72</v>
      </c>
      <c r="H36" s="13" t="s">
        <v>72</v>
      </c>
      <c r="I36" s="13" t="s">
        <v>257</v>
      </c>
      <c r="J36" s="14" t="s">
        <v>8</v>
      </c>
      <c r="K36" s="14" t="s">
        <v>8</v>
      </c>
      <c r="L36" s="14" t="str">
        <f aca="false">IF(J36=K36,"一致","不一致")</f>
        <v>一致</v>
      </c>
    </row>
    <row r="37" customFormat="false" ht="26.85" hidden="false" customHeight="false" outlineLevel="0" collapsed="false">
      <c r="A37" s="13" t="s">
        <v>258</v>
      </c>
      <c r="B37" s="14" t="s">
        <v>259</v>
      </c>
      <c r="C37" s="15" t="s">
        <v>7</v>
      </c>
      <c r="D37" s="14" t="s">
        <v>260</v>
      </c>
      <c r="E37" s="15" t="s">
        <v>7</v>
      </c>
      <c r="F37" s="14" t="s">
        <v>261</v>
      </c>
      <c r="G37" s="13" t="s">
        <v>72</v>
      </c>
      <c r="H37" s="14" t="s">
        <v>262</v>
      </c>
      <c r="I37" s="13" t="s">
        <v>263</v>
      </c>
      <c r="J37" s="14" t="s">
        <v>7</v>
      </c>
      <c r="K37" s="14" t="s">
        <v>7</v>
      </c>
      <c r="L37" s="14" t="str">
        <f aca="false">IF(J37=K37,"一致","不一致")</f>
        <v>一致</v>
      </c>
    </row>
    <row r="38" customFormat="false" ht="26.85" hidden="false" customHeight="false" outlineLevel="0" collapsed="false">
      <c r="A38" s="16" t="s">
        <v>264</v>
      </c>
      <c r="B38" s="14" t="s">
        <v>265</v>
      </c>
      <c r="C38" s="17" t="s">
        <v>6</v>
      </c>
      <c r="D38" s="13" t="s">
        <v>72</v>
      </c>
      <c r="E38" s="15" t="s">
        <v>7</v>
      </c>
      <c r="F38" s="14" t="s">
        <v>266</v>
      </c>
      <c r="G38" s="18" t="s">
        <v>92</v>
      </c>
      <c r="H38" s="14" t="s">
        <v>267</v>
      </c>
      <c r="I38" s="13" t="s">
        <v>268</v>
      </c>
      <c r="J38" s="14" t="s">
        <v>6</v>
      </c>
      <c r="K38" s="14" t="s">
        <v>7</v>
      </c>
      <c r="L38" s="14" t="str">
        <f aca="false">IF(J38=K38,"一致","不一致")</f>
        <v>不一致</v>
      </c>
    </row>
    <row r="39" customFormat="false" ht="39.55" hidden="false" customHeight="false" outlineLevel="0" collapsed="false">
      <c r="A39" s="13" t="s">
        <v>269</v>
      </c>
      <c r="B39" s="14" t="s">
        <v>270</v>
      </c>
      <c r="C39" s="19" t="s">
        <v>8</v>
      </c>
      <c r="D39" s="14" t="s">
        <v>271</v>
      </c>
      <c r="E39" s="19" t="s">
        <v>8</v>
      </c>
      <c r="F39" s="14" t="s">
        <v>272</v>
      </c>
      <c r="G39" s="13" t="s">
        <v>72</v>
      </c>
      <c r="H39" s="13" t="s">
        <v>72</v>
      </c>
      <c r="I39" s="13" t="s">
        <v>273</v>
      </c>
      <c r="J39" s="14" t="s">
        <v>8</v>
      </c>
      <c r="K39" s="14" t="s">
        <v>8</v>
      </c>
      <c r="L39" s="14" t="str">
        <f aca="false">IF(J39=K39,"一致","不一致")</f>
        <v>一致</v>
      </c>
    </row>
    <row r="40" customFormat="false" ht="26.85" hidden="false" customHeight="false" outlineLevel="0" collapsed="false">
      <c r="A40" s="13" t="s">
        <v>274</v>
      </c>
      <c r="B40" s="14" t="s">
        <v>275</v>
      </c>
      <c r="C40" s="15" t="s">
        <v>276</v>
      </c>
      <c r="D40" s="13" t="s">
        <v>277</v>
      </c>
      <c r="E40" s="15" t="s">
        <v>276</v>
      </c>
      <c r="F40" s="13" t="s">
        <v>278</v>
      </c>
      <c r="G40" s="13" t="s">
        <v>72</v>
      </c>
      <c r="H40" s="14" t="s">
        <v>279</v>
      </c>
      <c r="I40" s="13" t="s">
        <v>280</v>
      </c>
      <c r="J40" s="14" t="s">
        <v>7</v>
      </c>
      <c r="K40" s="14" t="s">
        <v>7</v>
      </c>
      <c r="L40" s="14" t="str">
        <f aca="false">IF(J40=K40,"一致","不一致")</f>
        <v>一致</v>
      </c>
    </row>
    <row r="41" customFormat="false" ht="26.85" hidden="false" customHeight="false" outlineLevel="0" collapsed="false">
      <c r="A41" s="16" t="s">
        <v>281</v>
      </c>
      <c r="B41" s="14" t="s">
        <v>282</v>
      </c>
      <c r="C41" s="17" t="s">
        <v>6</v>
      </c>
      <c r="D41" s="13" t="s">
        <v>72</v>
      </c>
      <c r="E41" s="15" t="s">
        <v>7</v>
      </c>
      <c r="F41" s="13" t="s">
        <v>283</v>
      </c>
      <c r="G41" s="18" t="s">
        <v>92</v>
      </c>
      <c r="H41" s="14" t="s">
        <v>284</v>
      </c>
      <c r="I41" s="13" t="s">
        <v>285</v>
      </c>
      <c r="J41" s="14" t="s">
        <v>6</v>
      </c>
      <c r="K41" s="14" t="s">
        <v>7</v>
      </c>
      <c r="L41" s="14" t="str">
        <f aca="false">IF(J41=K41,"一致","不一致")</f>
        <v>不一致</v>
      </c>
    </row>
    <row r="42" customFormat="false" ht="39.55" hidden="false" customHeight="false" outlineLevel="0" collapsed="false">
      <c r="A42" s="13" t="s">
        <v>286</v>
      </c>
      <c r="B42" s="14" t="s">
        <v>90</v>
      </c>
      <c r="C42" s="17" t="s">
        <v>6</v>
      </c>
      <c r="D42" s="13" t="s">
        <v>287</v>
      </c>
      <c r="E42" s="17" t="s">
        <v>288</v>
      </c>
      <c r="F42" s="14" t="s">
        <v>289</v>
      </c>
      <c r="G42" s="13" t="s">
        <v>72</v>
      </c>
      <c r="H42" s="14" t="s">
        <v>290</v>
      </c>
      <c r="I42" s="13" t="s">
        <v>291</v>
      </c>
      <c r="J42" s="14" t="s">
        <v>6</v>
      </c>
      <c r="K42" s="14" t="s">
        <v>6</v>
      </c>
      <c r="L42" s="14" t="str">
        <f aca="false">IF(J42=K42,"一致","不一致")</f>
        <v>一致</v>
      </c>
    </row>
    <row r="43" customFormat="false" ht="26.85" hidden="false" customHeight="false" outlineLevel="0" collapsed="false">
      <c r="A43" s="13" t="s">
        <v>292</v>
      </c>
      <c r="B43" s="14" t="s">
        <v>293</v>
      </c>
      <c r="C43" s="19" t="s">
        <v>8</v>
      </c>
      <c r="D43" s="14" t="s">
        <v>294</v>
      </c>
      <c r="E43" s="19" t="s">
        <v>8</v>
      </c>
      <c r="F43" s="14" t="s">
        <v>295</v>
      </c>
      <c r="G43" s="13" t="s">
        <v>72</v>
      </c>
      <c r="H43" s="13" t="s">
        <v>72</v>
      </c>
      <c r="I43" s="13" t="s">
        <v>296</v>
      </c>
      <c r="J43" s="14" t="s">
        <v>8</v>
      </c>
      <c r="K43" s="14" t="s">
        <v>8</v>
      </c>
      <c r="L43" s="14" t="str">
        <f aca="false">IF(J43=K43,"一致","不一致")</f>
        <v>一致</v>
      </c>
    </row>
    <row r="44" customFormat="false" ht="26.85" hidden="false" customHeight="false" outlineLevel="0" collapsed="false">
      <c r="A44" s="16" t="s">
        <v>297</v>
      </c>
      <c r="B44" s="14" t="s">
        <v>298</v>
      </c>
      <c r="C44" s="15" t="s">
        <v>7</v>
      </c>
      <c r="D44" s="14" t="s">
        <v>299</v>
      </c>
      <c r="E44" s="17" t="s">
        <v>212</v>
      </c>
      <c r="F44" s="14" t="s">
        <v>300</v>
      </c>
      <c r="G44" s="18" t="s">
        <v>301</v>
      </c>
      <c r="H44" s="14" t="s">
        <v>302</v>
      </c>
      <c r="I44" s="14" t="s">
        <v>303</v>
      </c>
      <c r="J44" s="14" t="s">
        <v>7</v>
      </c>
      <c r="K44" s="14" t="s">
        <v>6</v>
      </c>
      <c r="L44" s="14" t="str">
        <f aca="false">IF(J44=K44,"一致","不一致")</f>
        <v>不一致</v>
      </c>
    </row>
    <row r="45" customFormat="false" ht="39.55" hidden="false" customHeight="false" outlineLevel="0" collapsed="false">
      <c r="A45" s="14" t="s">
        <v>304</v>
      </c>
      <c r="B45" s="14" t="s">
        <v>305</v>
      </c>
      <c r="C45" s="15" t="s">
        <v>7</v>
      </c>
      <c r="D45" s="14" t="s">
        <v>306</v>
      </c>
      <c r="E45" s="15" t="s">
        <v>7</v>
      </c>
      <c r="F45" s="14" t="s">
        <v>307</v>
      </c>
      <c r="G45" s="13" t="s">
        <v>72</v>
      </c>
      <c r="H45" s="14" t="s">
        <v>308</v>
      </c>
      <c r="I45" s="13" t="s">
        <v>309</v>
      </c>
      <c r="J45" s="14" t="s">
        <v>7</v>
      </c>
      <c r="K45" s="14" t="s">
        <v>7</v>
      </c>
      <c r="L45" s="14" t="str">
        <f aca="false">IF(J45=K45,"一致","不一致")</f>
        <v>一致</v>
      </c>
    </row>
    <row r="46" customFormat="false" ht="39.55" hidden="false" customHeight="false" outlineLevel="0" collapsed="false">
      <c r="A46" s="14" t="s">
        <v>310</v>
      </c>
      <c r="B46" s="14" t="s">
        <v>311</v>
      </c>
      <c r="C46" s="15" t="s">
        <v>7</v>
      </c>
      <c r="D46" s="14" t="s">
        <v>312</v>
      </c>
      <c r="E46" s="15" t="s">
        <v>7</v>
      </c>
      <c r="F46" s="14" t="s">
        <v>313</v>
      </c>
      <c r="G46" s="13" t="s">
        <v>72</v>
      </c>
      <c r="H46" s="14" t="s">
        <v>98</v>
      </c>
      <c r="I46" s="13" t="s">
        <v>314</v>
      </c>
      <c r="J46" s="14" t="s">
        <v>7</v>
      </c>
      <c r="K46" s="14" t="s">
        <v>7</v>
      </c>
      <c r="L46" s="14" t="str">
        <f aca="false">IF(J46=K46,"一致","不一致")</f>
        <v>一致</v>
      </c>
    </row>
  </sheetData>
  <autoFilter ref="A1:L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8"/>
    <col collapsed="false" customWidth="true" hidden="false" outlineLevel="0" max="3" min="3" style="0" width="22"/>
    <col collapsed="false" customWidth="true" hidden="false" outlineLevel="0" max="4" min="4" style="0" width="44"/>
    <col collapsed="false" customWidth="true" hidden="false" outlineLevel="0" max="5" min="5" style="0" width="22"/>
    <col collapsed="false" customWidth="true" hidden="false" outlineLevel="0" max="6" min="6" style="0" width="36"/>
    <col collapsed="false" customWidth="true" hidden="false" outlineLevel="0" max="7" min="7" style="0" width="18"/>
    <col collapsed="false" customWidth="true" hidden="false" outlineLevel="0" max="8" min="8" style="0" width="40"/>
    <col collapsed="false" customWidth="true" hidden="false" outlineLevel="0" max="10" min="9" style="0" width="12"/>
  </cols>
  <sheetData>
    <row r="1" customFormat="false" ht="30" hidden="false" customHeight="true" outlineLevel="0" collapsed="false">
      <c r="A1" s="11" t="s">
        <v>56</v>
      </c>
      <c r="B1" s="11" t="s">
        <v>57</v>
      </c>
      <c r="C1" s="12" t="s">
        <v>58</v>
      </c>
      <c r="D1" s="12" t="s">
        <v>59</v>
      </c>
      <c r="E1" s="12" t="s">
        <v>60</v>
      </c>
      <c r="F1" s="12" t="s">
        <v>61</v>
      </c>
      <c r="G1" s="11" t="s">
        <v>62</v>
      </c>
      <c r="H1" s="11" t="s">
        <v>64</v>
      </c>
      <c r="I1" s="11" t="s">
        <v>315</v>
      </c>
      <c r="J1" s="11" t="s">
        <v>316</v>
      </c>
    </row>
    <row r="2" customFormat="false" ht="39.55" hidden="false" customHeight="false" outlineLevel="0" collapsed="false">
      <c r="A2" s="13" t="s">
        <v>317</v>
      </c>
      <c r="B2" s="14" t="s">
        <v>318</v>
      </c>
      <c r="C2" s="14" t="s">
        <v>6</v>
      </c>
      <c r="D2" s="13" t="s">
        <v>72</v>
      </c>
      <c r="E2" s="14" t="s">
        <v>6</v>
      </c>
      <c r="F2" s="13" t="s">
        <v>72</v>
      </c>
      <c r="G2" s="13" t="s">
        <v>72</v>
      </c>
      <c r="H2" s="14" t="s">
        <v>319</v>
      </c>
      <c r="I2" s="17" t="s">
        <v>6</v>
      </c>
      <c r="J2" s="17" t="s">
        <v>6</v>
      </c>
    </row>
    <row r="3" customFormat="false" ht="39.55" hidden="false" customHeight="false" outlineLevel="0" collapsed="false">
      <c r="A3" s="13" t="s">
        <v>320</v>
      </c>
      <c r="B3" s="14" t="s">
        <v>321</v>
      </c>
      <c r="C3" s="14" t="s">
        <v>322</v>
      </c>
      <c r="D3" s="14" t="s">
        <v>323</v>
      </c>
      <c r="E3" s="14" t="s">
        <v>324</v>
      </c>
      <c r="F3" s="14" t="s">
        <v>261</v>
      </c>
      <c r="G3" s="13" t="s">
        <v>72</v>
      </c>
      <c r="H3" s="14" t="s">
        <v>325</v>
      </c>
      <c r="I3" s="17" t="s">
        <v>6</v>
      </c>
      <c r="J3" s="19" t="s">
        <v>8</v>
      </c>
    </row>
    <row r="4" customFormat="false" ht="39.55" hidden="false" customHeight="false" outlineLevel="0" collapsed="false">
      <c r="A4" s="13" t="s">
        <v>326</v>
      </c>
      <c r="B4" s="14" t="s">
        <v>327</v>
      </c>
      <c r="C4" s="14" t="s">
        <v>8</v>
      </c>
      <c r="D4" s="14" t="s">
        <v>328</v>
      </c>
      <c r="E4" s="14" t="s">
        <v>8</v>
      </c>
      <c r="F4" s="14" t="s">
        <v>261</v>
      </c>
      <c r="G4" s="13" t="s">
        <v>72</v>
      </c>
      <c r="H4" s="13" t="s">
        <v>72</v>
      </c>
      <c r="I4" s="19" t="s">
        <v>8</v>
      </c>
      <c r="J4" s="19" t="s">
        <v>8</v>
      </c>
    </row>
    <row r="5" customFormat="false" ht="39.55" hidden="false" customHeight="false" outlineLevel="0" collapsed="false">
      <c r="A5" s="13" t="s">
        <v>329</v>
      </c>
      <c r="B5" s="14" t="s">
        <v>330</v>
      </c>
      <c r="C5" s="14" t="s">
        <v>8</v>
      </c>
      <c r="D5" s="13" t="s">
        <v>331</v>
      </c>
      <c r="E5" s="14" t="s">
        <v>8</v>
      </c>
      <c r="F5" s="14" t="s">
        <v>332</v>
      </c>
      <c r="G5" s="13" t="s">
        <v>72</v>
      </c>
      <c r="H5" s="14" t="s">
        <v>333</v>
      </c>
      <c r="I5" s="19" t="s">
        <v>8</v>
      </c>
      <c r="J5" s="19" t="s">
        <v>8</v>
      </c>
    </row>
    <row r="6" customFormat="false" ht="26.85" hidden="false" customHeight="false" outlineLevel="0" collapsed="false">
      <c r="A6" s="13" t="s">
        <v>334</v>
      </c>
      <c r="B6" s="14" t="s">
        <v>335</v>
      </c>
      <c r="C6" s="14" t="s">
        <v>8</v>
      </c>
      <c r="D6" s="14" t="s">
        <v>336</v>
      </c>
      <c r="E6" s="14" t="s">
        <v>8</v>
      </c>
      <c r="F6" s="14" t="s">
        <v>261</v>
      </c>
      <c r="G6" s="13" t="s">
        <v>72</v>
      </c>
      <c r="H6" s="13" t="s">
        <v>72</v>
      </c>
      <c r="I6" s="19" t="s">
        <v>8</v>
      </c>
      <c r="J6" s="19" t="s">
        <v>8</v>
      </c>
    </row>
    <row r="7" customFormat="false" ht="52.2" hidden="false" customHeight="false" outlineLevel="0" collapsed="false">
      <c r="A7" s="13" t="s">
        <v>337</v>
      </c>
      <c r="B7" s="14" t="s">
        <v>338</v>
      </c>
      <c r="C7" s="14" t="s">
        <v>339</v>
      </c>
      <c r="D7" s="14" t="s">
        <v>340</v>
      </c>
      <c r="E7" s="14" t="s">
        <v>341</v>
      </c>
      <c r="F7" s="14" t="s">
        <v>261</v>
      </c>
      <c r="G7" s="13" t="s">
        <v>72</v>
      </c>
      <c r="H7" s="14" t="s">
        <v>342</v>
      </c>
      <c r="I7" s="17" t="s">
        <v>6</v>
      </c>
      <c r="J7" s="15" t="s">
        <v>7</v>
      </c>
    </row>
    <row r="8" customFormat="false" ht="26.85" hidden="false" customHeight="false" outlineLevel="0" collapsed="false">
      <c r="A8" s="13" t="s">
        <v>343</v>
      </c>
      <c r="B8" s="14" t="s">
        <v>344</v>
      </c>
      <c r="C8" s="14" t="s">
        <v>212</v>
      </c>
      <c r="D8" s="14" t="s">
        <v>345</v>
      </c>
      <c r="E8" s="14" t="s">
        <v>212</v>
      </c>
      <c r="F8" s="14" t="s">
        <v>261</v>
      </c>
      <c r="G8" s="13" t="s">
        <v>72</v>
      </c>
      <c r="H8" s="14" t="s">
        <v>346</v>
      </c>
      <c r="I8" s="17" t="s">
        <v>6</v>
      </c>
      <c r="J8" s="17" t="s">
        <v>6</v>
      </c>
    </row>
    <row r="9" customFormat="false" ht="39.55" hidden="false" customHeight="false" outlineLevel="0" collapsed="false">
      <c r="A9" s="13" t="s">
        <v>347</v>
      </c>
      <c r="B9" s="13" t="s">
        <v>348</v>
      </c>
      <c r="C9" s="14" t="s">
        <v>6</v>
      </c>
      <c r="D9" s="14" t="s">
        <v>349</v>
      </c>
      <c r="E9" s="14" t="s">
        <v>6</v>
      </c>
      <c r="F9" s="13" t="s">
        <v>72</v>
      </c>
      <c r="G9" s="13" t="s">
        <v>72</v>
      </c>
      <c r="H9" s="14" t="s">
        <v>350</v>
      </c>
      <c r="I9" s="17" t="s">
        <v>6</v>
      </c>
      <c r="J9" s="17" t="s">
        <v>6</v>
      </c>
    </row>
    <row r="10" customFormat="false" ht="39.55" hidden="false" customHeight="false" outlineLevel="0" collapsed="false">
      <c r="A10" s="14" t="s">
        <v>351</v>
      </c>
      <c r="B10" s="14" t="s">
        <v>352</v>
      </c>
      <c r="C10" s="14" t="s">
        <v>212</v>
      </c>
      <c r="D10" s="14" t="s">
        <v>353</v>
      </c>
      <c r="E10" s="14" t="s">
        <v>212</v>
      </c>
      <c r="F10" s="14" t="s">
        <v>261</v>
      </c>
      <c r="G10" s="13" t="s">
        <v>72</v>
      </c>
      <c r="H10" s="14" t="s">
        <v>354</v>
      </c>
      <c r="I10" s="17" t="s">
        <v>6</v>
      </c>
      <c r="J10" s="17" t="s">
        <v>6</v>
      </c>
    </row>
  </sheetData>
  <autoFilter ref="A1:J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2026-10-25T18:37:46Z</dcterms:created>
  <dc:creator>openpyxl</dc:creator>
  <dc:description/>
  <dc:language>en-US</dc:language>
  <cp:lastModifiedBy/>
  <dcterms:modified xsi:type="dcterms:W3CDTF">2026-10-25T18:37:47Z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