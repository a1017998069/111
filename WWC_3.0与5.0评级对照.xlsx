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最终纳入" sheetId="1" state="visible" r:id="rId3"/>
    <sheet name="汇总" sheetId="2" state="visible" r:id="rId4"/>
    <sheet name="母本汇总" sheetId="3" state="visible" r:id="rId5"/>
    <sheet name="单一被试" sheetId="4" state="visible" r:id="rId6"/>
    <sheet name="组间设计" sheetId="5" state="visible" r:id="rId7"/>
    <sheet name="母本单一被试" sheetId="6" state="visible" r:id="rId8"/>
    <sheet name="母本组间设计" sheetId="7" state="visible" r:id="rId9"/>
  </sheets>
  <definedNames>
    <definedName function="false" hidden="true" localSheetId="0" name="_xlnm._FilterDatabase" vbProcedure="false">最终纳入!$A$11:$F$93</definedName>
    <definedName function="false" hidden="true" localSheetId="3" name="_xlnm._FilterDatabase" vbProcedure="false">单一被试!$A$1:$L$46</definedName>
    <definedName function="false" hidden="true" localSheetId="5" name="_xlnm._FilterDatabase" vbProcedure="false">母本单一被试!$A$1:$M$26</definedName>
    <definedName function="false" hidden="true" localSheetId="6" name="_xlnm._FilterDatabase" vbProcedure="false">母本组间设计!$A$1:$K$4</definedName>
    <definedName function="false" hidden="true" localSheetId="4" name="_xlnm._FilterDatabase" vbProcedure="false">组间设计!$A$1:$J$10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<sst xmlns="http://schemas.openxmlformats.org/spreadsheetml/2006/main" count="1604" uniqueCount="584">
  <si>
    <r>
      <rPr>
        <b val="true"/>
        <sz val="13"/>
        <rFont val="WenQuanYi Zen Hei"/>
        <family val="2"/>
      </rPr>
      <t xml:space="preserve">最终纳入清单（</t>
    </r>
    <r>
      <rPr>
        <b val="true"/>
        <sz val="13"/>
        <rFont val="Arial"/>
        <family val="0"/>
        <charset val="1"/>
      </rPr>
      <t xml:space="preserve">WWC 5.0</t>
    </r>
    <r>
      <rPr>
        <b val="true"/>
        <sz val="13"/>
        <rFont val="WenQuanYi Zen Hei"/>
        <family val="2"/>
      </rPr>
      <t xml:space="preserve">，严格纳入；组间设计采用保守流失边界）</t>
    </r>
  </si>
  <si>
    <t xml:space="preserve">单一被试</t>
  </si>
  <si>
    <t xml:space="preserve">组间设计</t>
  </si>
  <si>
    <t xml:space="preserve">合计</t>
  </si>
  <si>
    <t xml:space="preserve">母本 纳入</t>
  </si>
  <si>
    <t xml:space="preserve">新检索 纳入</t>
  </si>
  <si>
    <t xml:space="preserve">中文 纳入</t>
  </si>
  <si>
    <t xml:space="preserve">纳入合计</t>
  </si>
  <si>
    <t xml:space="preserve">排除合计</t>
  </si>
  <si>
    <t xml:space="preserve">评定总数</t>
  </si>
  <si>
    <t xml:space="preserve">来源</t>
  </si>
  <si>
    <t xml:space="preserve">设计</t>
  </si>
  <si>
    <t xml:space="preserve">研究</t>
  </si>
  <si>
    <r>
      <rPr>
        <b val="true"/>
        <sz val="10"/>
        <color rgb="FFFFFFFF"/>
        <rFont val="Arial"/>
        <family val="0"/>
        <charset val="1"/>
      </rPr>
      <t xml:space="preserve">5.0</t>
    </r>
    <r>
      <rPr>
        <b val="true"/>
        <sz val="10"/>
        <color rgb="FFFFFFFF"/>
        <rFont val="WenQuanYi Zen Hei"/>
        <family val="2"/>
      </rPr>
      <t xml:space="preserve">评级</t>
    </r>
  </si>
  <si>
    <t xml:space="preserve">决定</t>
  </si>
  <si>
    <t xml:space="preserve">排除理由</t>
  </si>
  <si>
    <t xml:space="preserve">母本</t>
  </si>
  <si>
    <t xml:space="preserve">01 Bock 2007</t>
  </si>
  <si>
    <t xml:space="preserve">有保留</t>
  </si>
  <si>
    <t xml:space="preserve">纳入</t>
  </si>
  <si>
    <t xml:space="preserve">—</t>
  </si>
  <si>
    <t xml:space="preserve">02 Chan &amp; O'Reilly 2008</t>
  </si>
  <si>
    <t xml:space="preserve">03 Cho &amp; Blair 2007</t>
  </si>
  <si>
    <r>
      <rPr>
        <sz val="10"/>
        <rFont val="Arial"/>
        <family val="0"/>
        <charset val="1"/>
      </rPr>
      <t xml:space="preserve">04 Cihak et al. 2010 (iPod</t>
    </r>
    <r>
      <rPr>
        <sz val="10"/>
        <rFont val="WenQuanYi Zen Hei"/>
        <family val="2"/>
      </rPr>
      <t xml:space="preserve">视频示范</t>
    </r>
    <r>
      <rPr>
        <sz val="10"/>
        <rFont val="Arial"/>
        <family val="0"/>
        <charset val="1"/>
      </rPr>
      <t xml:space="preserve">)</t>
    </r>
  </si>
  <si>
    <r>
      <rPr>
        <sz val="10"/>
        <rFont val="Arial"/>
        <family val="0"/>
        <charset val="1"/>
      </rPr>
      <t xml:space="preserve">05 Cihak et al. 2010 (</t>
    </r>
    <r>
      <rPr>
        <sz val="10"/>
        <rFont val="WenQuanYi Zen Hei"/>
        <family val="2"/>
      </rPr>
      <t xml:space="preserve">手持设备自我示范</t>
    </r>
    <r>
      <rPr>
        <sz val="10"/>
        <rFont val="Arial"/>
        <family val="0"/>
        <charset val="1"/>
      </rPr>
      <t xml:space="preserve">)</t>
    </r>
  </si>
  <si>
    <t xml:space="preserve">06 Clemons et al. 2016</t>
  </si>
  <si>
    <t xml:space="preserve">无保留</t>
  </si>
  <si>
    <t xml:space="preserve">07 Ganz &amp; Flores 2008</t>
  </si>
  <si>
    <t xml:space="preserve">08 Gardner et al. 2014</t>
  </si>
  <si>
    <t xml:space="preserve">09 Gena et al. 2006</t>
  </si>
  <si>
    <t xml:space="preserve">10 Haley et al. 2010</t>
  </si>
  <si>
    <t xml:space="preserve">11 Hochman et al. 2015</t>
  </si>
  <si>
    <t xml:space="preserve">13 Hughes et al. 2013</t>
  </si>
  <si>
    <t xml:space="preserve">17 Kern &amp; Aldridge 2006</t>
  </si>
  <si>
    <t xml:space="preserve">19 Koegel et al. 2013</t>
  </si>
  <si>
    <t xml:space="preserve">21 Loftin et al. 2008</t>
  </si>
  <si>
    <t xml:space="preserve">22 Mason et al. 2014</t>
  </si>
  <si>
    <t xml:space="preserve">23 McCurdy &amp; Cole 2014</t>
  </si>
  <si>
    <t xml:space="preserve">24 Morrison et al. 2002</t>
  </si>
  <si>
    <t xml:space="preserve">25 Owen-DeSchryver et al. 2008</t>
  </si>
  <si>
    <t xml:space="preserve">26 Rosenbloom et al. 2016</t>
  </si>
  <si>
    <t xml:space="preserve">27 Sansosti &amp; Powell-Smith 2008</t>
  </si>
  <si>
    <t xml:space="preserve">新检索</t>
  </si>
  <si>
    <r>
      <rPr>
        <sz val="10"/>
        <rFont val="Arial"/>
        <family val="0"/>
        <charset val="1"/>
      </rPr>
      <t xml:space="preserve">001-A </t>
    </r>
    <r>
      <rPr>
        <sz val="10"/>
        <rFont val="WenQuanYi Zen Hei"/>
        <family val="2"/>
      </rPr>
      <t xml:space="preserve">多成分同伴介入干预对孤独症谱系障碍学前儿童社会沟通的影响</t>
    </r>
  </si>
  <si>
    <r>
      <rPr>
        <sz val="10"/>
        <rFont val="Arial"/>
        <family val="0"/>
        <charset val="1"/>
      </rPr>
      <t xml:space="preserve">002-A </t>
    </r>
    <r>
      <rPr>
        <sz val="10"/>
        <rFont val="WenQuanYi Zen Hei"/>
        <family val="2"/>
      </rPr>
      <t xml:space="preserve">学前课堂中的同伴介入共同注意干预</t>
    </r>
  </si>
  <si>
    <r>
      <rPr>
        <sz val="10"/>
        <rFont val="Arial"/>
        <family val="0"/>
        <charset val="1"/>
      </rPr>
      <t xml:space="preserve">003-A </t>
    </r>
    <r>
      <rPr>
        <sz val="10"/>
        <rFont val="WenQuanYi Zen Hei"/>
        <family val="2"/>
      </rPr>
      <t xml:space="preserve">通过合作性户外游戏增加孤独症学前儿童的社会互动</t>
    </r>
  </si>
  <si>
    <r>
      <rPr>
        <sz val="10"/>
        <rFont val="Arial"/>
        <family val="0"/>
        <charset val="1"/>
      </rPr>
      <t xml:space="preserve">005-A </t>
    </r>
    <r>
      <rPr>
        <sz val="10"/>
        <rFont val="WenQuanYi Zen Hei"/>
        <family val="2"/>
      </rPr>
      <t xml:space="preserve">超越行为形态：关注孤独症学生社交技能训练的功能性影响</t>
    </r>
  </si>
  <si>
    <r>
      <rPr>
        <sz val="10"/>
        <rFont val="Arial"/>
        <family val="0"/>
        <charset val="1"/>
      </rPr>
      <t xml:space="preserve">006-A </t>
    </r>
    <r>
      <rPr>
        <sz val="10"/>
        <rFont val="WenQuanYi Zen Hei"/>
        <family val="2"/>
      </rPr>
      <t xml:space="preserve">提升孤独症谱系障碍学前学生的数感理解</t>
    </r>
  </si>
  <si>
    <r>
      <rPr>
        <sz val="10"/>
        <rFont val="Arial"/>
        <family val="0"/>
        <charset val="1"/>
      </rPr>
      <t xml:space="preserve">007-A </t>
    </r>
    <r>
      <rPr>
        <sz val="10"/>
        <rFont val="WenQuanYi Zen Hei"/>
        <family val="2"/>
      </rPr>
      <t xml:space="preserve">不同教学形式与环境下同伴支持安排对重度障碍学生的影响</t>
    </r>
  </si>
  <si>
    <r>
      <rPr>
        <sz val="10"/>
        <rFont val="Arial"/>
        <family val="0"/>
        <charset val="1"/>
      </rPr>
      <t xml:space="preserve">008-A </t>
    </r>
    <r>
      <rPr>
        <sz val="10"/>
        <rFont val="WenQuanYi Zen Hei"/>
        <family val="2"/>
      </rPr>
      <t xml:space="preserve">简报：加重毯对一名孤独症谱系障碍学生参与度的影响</t>
    </r>
  </si>
  <si>
    <r>
      <rPr>
        <sz val="10"/>
        <rFont val="Arial"/>
        <family val="0"/>
        <charset val="1"/>
      </rPr>
      <t xml:space="preserve">009-A </t>
    </r>
    <r>
      <rPr>
        <sz val="10"/>
        <rFont val="WenQuanYi Zen Hei"/>
        <family val="2"/>
      </rPr>
      <t xml:space="preserve">教导幼儿向孤独症谱系障碍同伴发出游戏邀请</t>
    </r>
  </si>
  <si>
    <r>
      <rPr>
        <sz val="10"/>
        <rFont val="Arial"/>
        <family val="0"/>
        <charset val="1"/>
      </rPr>
      <t xml:space="preserve">010-A </t>
    </r>
    <r>
      <rPr>
        <sz val="10"/>
        <rFont val="WenQuanYi Zen Hei"/>
        <family val="2"/>
      </rPr>
      <t xml:space="preserve">结合偏好活动与同伴支持以增加孤独症谱系障碍学前儿童与典型发展同伴之间的社会互动</t>
    </r>
  </si>
  <si>
    <r>
      <rPr>
        <sz val="10"/>
        <rFont val="Arial"/>
        <family val="0"/>
        <charset val="1"/>
      </rPr>
      <t xml:space="preserve">011-A </t>
    </r>
    <r>
      <rPr>
        <sz val="10"/>
        <rFont val="WenQuanYi Zen Hei"/>
        <family val="2"/>
      </rPr>
      <t xml:space="preserve">运用视觉日程表和工作系统提高普通班孤独症谱系学生的任务专注行为</t>
    </r>
  </si>
  <si>
    <r>
      <rPr>
        <sz val="10"/>
        <rFont val="Arial"/>
        <family val="0"/>
        <charset val="1"/>
      </rPr>
      <t xml:space="preserve">013-A </t>
    </r>
    <r>
      <rPr>
        <sz val="10"/>
        <rFont val="WenQuanYi Zen Hei"/>
        <family val="2"/>
      </rPr>
      <t xml:space="preserve">同伴介入干预在提升孤独症学生写作技能方面的有效性</t>
    </r>
  </si>
  <si>
    <r>
      <rPr>
        <sz val="10"/>
        <rFont val="Arial"/>
        <family val="0"/>
        <charset val="1"/>
      </rPr>
      <t xml:space="preserve">016-A </t>
    </r>
    <r>
      <rPr>
        <sz val="10"/>
        <rFont val="WenQuanYi Zen Hei"/>
        <family val="2"/>
      </rPr>
      <t xml:space="preserve">游戏时间到了：课间休息期间针对一名孤独症学生的同伴介入干预</t>
    </r>
  </si>
  <si>
    <r>
      <rPr>
        <sz val="10"/>
        <rFont val="Arial"/>
        <family val="0"/>
        <charset val="1"/>
      </rPr>
      <t xml:space="preserve">017-A </t>
    </r>
    <r>
      <rPr>
        <sz val="10"/>
        <rFont val="WenQuanYi Zen Hei"/>
        <family val="2"/>
      </rPr>
      <t xml:space="preserve">改编与未改编读物对有广泛支持需求学生理解表现影响的比较</t>
    </r>
  </si>
  <si>
    <r>
      <rPr>
        <sz val="10"/>
        <rFont val="Arial"/>
        <family val="0"/>
        <charset val="1"/>
      </rPr>
      <t xml:space="preserve">018-A </t>
    </r>
    <r>
      <rPr>
        <sz val="10"/>
        <rFont val="WenQuanYi Zen Hei"/>
        <family val="2"/>
      </rPr>
      <t xml:space="preserve">多重表征促进孤独症学生早期代数思维的效果</t>
    </r>
  </si>
  <si>
    <r>
      <rPr>
        <sz val="10"/>
        <rFont val="Arial"/>
        <family val="0"/>
        <charset val="1"/>
      </rPr>
      <t xml:space="preserve">020-A </t>
    </r>
    <r>
      <rPr>
        <sz val="10"/>
        <rFont val="WenQuanYi Zen Hei"/>
        <family val="2"/>
      </rPr>
      <t xml:space="preserve">在教学中嵌入特殊兴趣领域对孤独症谱系障碍儿童参与行为和离座行为的影响</t>
    </r>
  </si>
  <si>
    <r>
      <rPr>
        <sz val="10"/>
        <rFont val="Arial"/>
        <family val="0"/>
        <charset val="1"/>
      </rPr>
      <t xml:space="preserve">021-A </t>
    </r>
    <r>
      <rPr>
        <sz val="10"/>
        <rFont val="WenQuanYi Zen Hei"/>
        <family val="2"/>
      </rPr>
      <t xml:space="preserve">融合学前情境中同伴介入共同注意干预的效果</t>
    </r>
  </si>
  <si>
    <r>
      <rPr>
        <sz val="10"/>
        <rFont val="Arial"/>
        <family val="0"/>
        <charset val="1"/>
      </rPr>
      <t xml:space="preserve">022-A </t>
    </r>
    <r>
      <rPr>
        <sz val="10"/>
        <rFont val="WenQuanYi Zen Hei"/>
        <family val="2"/>
      </rPr>
      <t xml:space="preserve">教师引导的同伴介入干预对孤独症学前儿童社交游戏的影响</t>
    </r>
  </si>
  <si>
    <r>
      <rPr>
        <sz val="10"/>
        <rFont val="Arial"/>
        <family val="0"/>
        <charset val="1"/>
      </rPr>
      <t xml:space="preserve">025-A </t>
    </r>
    <r>
      <rPr>
        <sz val="10"/>
        <rFont val="WenQuanYi Zen Hei"/>
        <family val="2"/>
      </rPr>
      <t xml:space="preserve">在与典型发展同伴开展的小组教学中教授孤独症儿童学业技能</t>
    </r>
  </si>
  <si>
    <r>
      <rPr>
        <sz val="10"/>
        <rFont val="Arial"/>
        <family val="0"/>
        <charset val="1"/>
      </rPr>
      <t xml:space="preserve">027-A </t>
    </r>
    <r>
      <rPr>
        <sz val="10"/>
        <rFont val="WenQuanYi Zen Hei"/>
        <family val="2"/>
      </rPr>
      <t xml:space="preserve">在融合情境中运用合作性身体活动促进中国孤独症谱系障碍学前儿童的社会互动</t>
    </r>
  </si>
  <si>
    <r>
      <rPr>
        <sz val="10"/>
        <rFont val="Arial"/>
        <family val="0"/>
        <charset val="1"/>
      </rPr>
      <t xml:space="preserve">028-A </t>
    </r>
    <r>
      <rPr>
        <sz val="10"/>
        <rFont val="WenQuanYi Zen Hei"/>
        <family val="2"/>
      </rPr>
      <t xml:space="preserve">在学校课间运用自我管理教授孤独症谱系障碍学前儿童社会互动技能</t>
    </r>
  </si>
  <si>
    <r>
      <rPr>
        <sz val="10"/>
        <rFont val="Arial"/>
        <family val="0"/>
        <charset val="1"/>
      </rPr>
      <t xml:space="preserve">029-A </t>
    </r>
    <r>
      <rPr>
        <sz val="10"/>
        <rFont val="WenQuanYi Zen Hei"/>
        <family val="2"/>
      </rPr>
      <t xml:space="preserve">良好行为游戏：对融合情境中有和无特殊教育需要学生扰乱行为的影响</t>
    </r>
  </si>
  <si>
    <r>
      <rPr>
        <sz val="10"/>
        <rFont val="Arial"/>
        <family val="0"/>
        <charset val="1"/>
      </rPr>
      <t xml:space="preserve">030-A </t>
    </r>
    <r>
      <rPr>
        <sz val="10"/>
        <rFont val="WenQuanYi Zen Hei"/>
        <family val="2"/>
      </rPr>
      <t xml:space="preserve">人工智能支持的自我指导作为融合学前情境中嵌入式教学专业发展模式的影响研究</t>
    </r>
  </si>
  <si>
    <r>
      <rPr>
        <sz val="10"/>
        <rFont val="Arial"/>
        <family val="0"/>
        <charset val="1"/>
      </rPr>
      <t xml:space="preserve">032-A </t>
    </r>
    <r>
      <rPr>
        <sz val="10"/>
        <rFont val="WenQuanYi Zen Hei"/>
        <family val="2"/>
      </rPr>
      <t xml:space="preserve">面向发展障碍学生核心学业内容教学的普通教育教师培训</t>
    </r>
  </si>
  <si>
    <r>
      <rPr>
        <sz val="10"/>
        <rFont val="Arial"/>
        <family val="0"/>
        <charset val="1"/>
      </rPr>
      <t xml:space="preserve">033-A </t>
    </r>
    <r>
      <rPr>
        <sz val="10"/>
        <rFont val="WenQuanYi Zen Hei"/>
        <family val="2"/>
      </rPr>
      <t xml:space="preserve">融合高中课堂中由教学辅助人员实施的低强度同伴培训的探索</t>
    </r>
  </si>
  <si>
    <r>
      <rPr>
        <sz val="10"/>
        <rFont val="Arial"/>
        <family val="0"/>
        <charset val="1"/>
      </rPr>
      <t xml:space="preserve">035-A </t>
    </r>
    <r>
      <rPr>
        <sz val="10"/>
        <rFont val="WenQuanYi Zen Hei"/>
        <family val="2"/>
      </rPr>
      <t xml:space="preserve">促进孤独症谱系障碍幼儿同伴社会互动的基于兴趣的综合干预方案</t>
    </r>
  </si>
  <si>
    <r>
      <rPr>
        <sz val="10"/>
        <rFont val="Arial"/>
        <family val="0"/>
        <charset val="1"/>
      </rPr>
      <t xml:space="preserve">036-A </t>
    </r>
    <r>
      <rPr>
        <sz val="10"/>
        <rFont val="WenQuanYi Zen Hei"/>
        <family val="2"/>
      </rPr>
      <t xml:space="preserve">在融合情境中由教学辅助人员实施视频提示以教授重度障碍学生学业内容</t>
    </r>
  </si>
  <si>
    <r>
      <rPr>
        <sz val="10"/>
        <rFont val="Arial"/>
        <family val="0"/>
        <charset val="1"/>
      </rPr>
      <t xml:space="preserve">037-A </t>
    </r>
    <r>
      <rPr>
        <sz val="10"/>
        <rFont val="WenQuanYi Zen Hei"/>
        <family val="2"/>
      </rPr>
      <t xml:space="preserve">运用同伴介入的乐高游戏干预改善融合情境中中国孤独症儿童的社会互动</t>
    </r>
  </si>
  <si>
    <r>
      <rPr>
        <sz val="10"/>
        <rFont val="Arial"/>
        <family val="0"/>
        <charset val="1"/>
      </rPr>
      <t xml:space="preserve">039-A </t>
    </r>
    <r>
      <rPr>
        <sz val="10"/>
        <rFont val="WenQuanYi Zen Hei"/>
        <family val="2"/>
      </rPr>
      <t xml:space="preserve">融合学前教育工作者通过远程医疗培训实施自然情境发展行为干预</t>
    </r>
  </si>
  <si>
    <r>
      <rPr>
        <sz val="10"/>
        <rFont val="Arial"/>
        <family val="0"/>
        <charset val="1"/>
      </rPr>
      <t xml:space="preserve">040-A </t>
    </r>
    <r>
      <rPr>
        <sz val="10"/>
        <rFont val="WenQuanYi Zen Hei"/>
        <family val="2"/>
      </rPr>
      <t xml:space="preserve">班级教师实施“社交站”干预以改善孤独症学生的言语发起与回应</t>
    </r>
  </si>
  <si>
    <r>
      <rPr>
        <sz val="10"/>
        <rFont val="Arial"/>
        <family val="0"/>
        <charset val="1"/>
      </rPr>
      <t xml:space="preserve">042-A </t>
    </r>
    <r>
      <rPr>
        <sz val="10"/>
        <rFont val="WenQuanYi Zen Hei"/>
        <family val="2"/>
      </rPr>
      <t xml:space="preserve">改善孤独症谱系障碍小学生的遵从行为</t>
    </r>
  </si>
  <si>
    <r>
      <rPr>
        <sz val="10"/>
        <rFont val="Arial"/>
        <family val="0"/>
        <charset val="1"/>
      </rPr>
      <t xml:space="preserve">043-A </t>
    </r>
    <r>
      <rPr>
        <sz val="10"/>
        <rFont val="WenQuanYi Zen Hei"/>
        <family val="2"/>
      </rPr>
      <t xml:space="preserve">专业发展改善中国一所融合幼儿园教师的嵌入式教学及儿童的学习成效</t>
    </r>
  </si>
  <si>
    <r>
      <rPr>
        <sz val="10"/>
        <rFont val="Arial"/>
        <family val="0"/>
        <charset val="1"/>
      </rPr>
      <t xml:space="preserve">044-A </t>
    </r>
    <r>
      <rPr>
        <sz val="10"/>
        <rFont val="WenQuanYi Zen Hei"/>
        <family val="2"/>
      </rPr>
      <t xml:space="preserve">通过同伴主导游戏开展的同伴网络干预对融合课堂中孤独症谱系障碍儿童基本社会沟通技能的影响</t>
    </r>
  </si>
  <si>
    <r>
      <rPr>
        <sz val="10"/>
        <rFont val="Arial"/>
        <family val="0"/>
        <charset val="1"/>
      </rPr>
      <t xml:space="preserve">046-A </t>
    </r>
    <r>
      <rPr>
        <sz val="10"/>
        <rFont val="WenQuanYi Zen Hei"/>
        <family val="2"/>
      </rPr>
      <t xml:space="preserve">在课间休息时促进孤独症谱系障碍及相关社交困难儿童的社会学习</t>
    </r>
  </si>
  <si>
    <t xml:space="preserve">中文</t>
  </si>
  <si>
    <r>
      <rPr>
        <sz val="10"/>
        <rFont val="WenQuanYi Zen Hei"/>
        <family val="2"/>
      </rPr>
      <t xml:space="preserve">张晓敏</t>
    </r>
    <r>
      <rPr>
        <sz val="10"/>
        <rFont val="Arial"/>
        <family val="0"/>
        <charset val="1"/>
      </rPr>
      <t xml:space="preserve">2026 </t>
    </r>
    <r>
      <rPr>
        <sz val="10"/>
        <rFont val="WenQuanYi Zen Hei"/>
        <family val="2"/>
      </rPr>
      <t xml:space="preserve">融合教育环境中人际同步音乐活动促进孤独症幼儿社会交往的干预研究（中文）</t>
    </r>
  </si>
  <si>
    <r>
      <rPr>
        <sz val="10"/>
        <rFont val="WenQuanYi Zen Hei"/>
        <family val="2"/>
      </rPr>
      <t xml:space="preserve">户秀美</t>
    </r>
    <r>
      <rPr>
        <sz val="10"/>
        <rFont val="Arial"/>
        <family val="0"/>
        <charset val="1"/>
      </rPr>
      <t xml:space="preserve">2025 </t>
    </r>
    <r>
      <rPr>
        <sz val="10"/>
        <rFont val="WenQuanYi Zen Hei"/>
        <family val="2"/>
      </rPr>
      <t xml:space="preserve">低年级随班就读孤独症儿童发散性思维的干预研究（中文）</t>
    </r>
  </si>
  <si>
    <t xml:space="preserve">16 Kasari et al. 2012</t>
  </si>
  <si>
    <r>
      <rPr>
        <sz val="10"/>
        <rFont val="Arial"/>
        <family val="0"/>
        <charset val="1"/>
      </rPr>
      <t xml:space="preserve">001-B </t>
    </r>
    <r>
      <rPr>
        <sz val="10"/>
        <rFont val="WenQuanYi Zen Hei"/>
        <family val="2"/>
      </rPr>
      <t xml:space="preserve">实施支持对公立学校孤独症儿童社会参与干预应用的影响</t>
    </r>
  </si>
  <si>
    <r>
      <rPr>
        <sz val="10"/>
        <rFont val="Arial"/>
        <family val="0"/>
        <charset val="1"/>
      </rPr>
      <t xml:space="preserve">007-B I-SOCIALISE</t>
    </r>
    <r>
      <rPr>
        <sz val="10"/>
        <rFont val="WenQuanYi Zen Hei"/>
        <family val="2"/>
      </rPr>
      <t xml:space="preserve">：探究在学校环境中参加乐高疗法（“积木游戏疗法”）俱乐部的孤独症儿童社会能力与社会孤立状况的整群随机对照试验结果</t>
    </r>
  </si>
  <si>
    <r>
      <rPr>
        <sz val="10"/>
        <rFont val="Arial"/>
        <family val="0"/>
        <charset val="1"/>
      </rPr>
      <t xml:space="preserve">009-B “</t>
    </r>
    <r>
      <rPr>
        <sz val="10"/>
        <rFont val="WenQuanYi Zen Hei"/>
        <family val="2"/>
      </rPr>
      <t xml:space="preserve">重塑课间休息”干预改善孤独症谱系障碍儿童在校同伴互动：多地点随机试验</t>
    </r>
  </si>
  <si>
    <r>
      <rPr>
        <sz val="10"/>
        <rFont val="WenQuanYi Zen Hei"/>
        <family val="2"/>
      </rPr>
      <t xml:space="preserve">沙鹏</t>
    </r>
    <r>
      <rPr>
        <sz val="10"/>
        <rFont val="Arial"/>
        <family val="0"/>
        <charset val="1"/>
      </rPr>
      <t xml:space="preserve">2023 </t>
    </r>
    <r>
      <rPr>
        <sz val="10"/>
        <rFont val="WenQuanYi Zen Hei"/>
        <family val="2"/>
      </rPr>
      <t xml:space="preserve">基于同伴介入法的气排球运动干预对随班就读孤独症儿童社交能力的影响（中文）</t>
    </r>
  </si>
  <si>
    <t xml:space="preserve">12 Hughes et al. 2011</t>
  </si>
  <si>
    <t xml:space="preserve">不达标</t>
  </si>
  <si>
    <t xml:space="preserve">排除</t>
  </si>
  <si>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次会话内无所有层垂直重叠的探测点</t>
    </r>
  </si>
  <si>
    <t xml:space="preserve">14 Jung et al. 2008</t>
  </si>
  <si>
    <r>
      <rPr>
        <sz val="10"/>
        <rFont val="Arial"/>
        <family val="0"/>
        <charset val="1"/>
      </rPr>
      <t xml:space="preserve">5.0</t>
    </r>
    <r>
      <rPr>
        <sz val="10"/>
        <rFont val="WenQuanYi Zen Hei"/>
        <family val="2"/>
      </rPr>
      <t xml:space="preserve">不达标：以</t>
    </r>
    <r>
      <rPr>
        <sz val="10"/>
        <rFont val="Arial"/>
        <family val="0"/>
        <charset val="1"/>
      </rPr>
      <t xml:space="preserve">"</t>
    </r>
    <r>
      <rPr>
        <sz val="10"/>
        <rFont val="WenQuanYi Zen Hei"/>
        <family val="2"/>
      </rPr>
      <t xml:space="preserve">高概率</t>
    </r>
    <r>
      <rPr>
        <sz val="10"/>
        <rFont val="Arial"/>
        <family val="0"/>
        <charset val="1"/>
      </rPr>
      <t xml:space="preserve">vs</t>
    </r>
    <r>
      <rPr>
        <sz val="10"/>
        <rFont val="WenQuanYi Zen Hei"/>
        <family val="2"/>
      </rPr>
      <t xml:space="preserve">低概率</t>
    </r>
    <r>
      <rPr>
        <sz val="10"/>
        <rFont val="Arial"/>
        <family val="0"/>
        <charset val="1"/>
      </rPr>
      <t xml:space="preserve">"</t>
    </r>
    <r>
      <rPr>
        <sz val="10"/>
        <rFont val="WenQuanYi Zen Hei"/>
        <family val="2"/>
      </rPr>
      <t xml:space="preserve">为对比时，</t>
    </r>
    <r>
      <rPr>
        <sz val="10"/>
        <rFont val="Arial"/>
        <family val="0"/>
        <charset val="1"/>
      </rPr>
      <t xml:space="preserve">Paul</t>
    </r>
    <r>
      <rPr>
        <sz val="10"/>
        <rFont val="WenQuanYi Zen Hei"/>
        <family val="2"/>
      </rPr>
      <t xml:space="preserve">、</t>
    </r>
    <r>
      <rPr>
        <sz val="10"/>
        <rFont val="Arial"/>
        <family val="0"/>
        <charset val="1"/>
      </rPr>
      <t xml:space="preserve">Chris</t>
    </r>
    <r>
      <rPr>
        <sz val="10"/>
        <rFont val="WenQuanYi Zen Hei"/>
        <family val="2"/>
      </rPr>
      <t xml:space="preserve">的低概率阶段始于</t>
    </r>
    <r>
      <rPr>
        <sz val="10"/>
        <rFont val="Arial"/>
        <family val="0"/>
        <charset val="1"/>
      </rPr>
      <t xml:space="preserve">Eric</t>
    </r>
    <r>
      <rPr>
        <sz val="10"/>
        <rFont val="WenQuanYi Zen Hei"/>
        <family val="2"/>
      </rPr>
      <t xml:space="preserve">进入高概率干预之后，违反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</si>
  <si>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t xml:space="preserve">18 Koegel et al. 2012</t>
  </si>
  <si>
    <r>
      <rPr>
        <sz val="10"/>
        <rFont val="Arial"/>
        <family val="0"/>
        <charset val="1"/>
      </rPr>
      <t xml:space="preserve">5.0</t>
    </r>
    <r>
      <rPr>
        <sz val="10"/>
        <rFont val="WenQuanYi Zen Hei"/>
        <family val="2"/>
      </rPr>
      <t xml:space="preserve">不达标：违反同时性要求；</t>
    </r>
    <r>
      <rPr>
        <sz val="10"/>
        <rFont val="Arial"/>
        <family val="0"/>
        <charset val="1"/>
      </rPr>
      <t xml:space="preserve">Child 1</t>
    </r>
    <r>
      <rPr>
        <sz val="10"/>
        <rFont val="WenQuanYi Zen Hei"/>
        <family val="2"/>
      </rPr>
      <t xml:space="preserve">撤回设计</t>
    </r>
    <r>
      <rPr>
        <sz val="10"/>
        <rFont val="Arial"/>
        <family val="0"/>
        <charset val="1"/>
      </rPr>
      <t xml:space="preserve">A2</t>
    </r>
    <r>
      <rPr>
        <sz val="10"/>
        <rFont val="WenQuanYi Zen Hei"/>
        <family val="2"/>
      </rPr>
      <t xml:space="preserve">仅</t>
    </r>
    <r>
      <rPr>
        <sz val="10"/>
        <rFont val="Arial"/>
        <family val="0"/>
        <charset val="1"/>
      </rPr>
      <t xml:space="preserve">2</t>
    </r>
    <r>
      <rPr>
        <sz val="10"/>
        <rFont val="WenQuanYi Zen Hei"/>
        <family val="2"/>
      </rPr>
      <t xml:space="preserve">点</t>
    </r>
  </si>
  <si>
    <t xml:space="preserve">28 Strain et al. 2011</t>
  </si>
  <si>
    <r>
      <rPr>
        <sz val="10"/>
        <rFont val="Arial"/>
        <family val="0"/>
        <charset val="1"/>
      </rPr>
      <t xml:space="preserve">5.0</t>
    </r>
    <r>
      <rPr>
        <sz val="10"/>
        <rFont val="WenQuanYi Zen Hei"/>
        <family val="2"/>
      </rPr>
      <t xml:space="preserve">不达标：</t>
    </r>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</si>
  <si>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012-A </t>
    </r>
    <r>
      <rPr>
        <sz val="10"/>
        <rFont val="WenQuanYi Zen Hei"/>
        <family val="2"/>
      </rPr>
      <t xml:space="preserve">运用结构分析指导重度障碍高中生的同伴支持安排</t>
    </r>
  </si>
  <si>
    <r>
      <rPr>
        <sz val="10"/>
        <rFont val="Arial"/>
        <family val="0"/>
        <charset val="1"/>
      </rPr>
      <t xml:space="preserve">5.0</t>
    </r>
    <r>
      <rPr>
        <sz val="10"/>
        <rFont val="WenQuanYi Zen Hei"/>
        <family val="2"/>
      </rPr>
      <t xml:space="preserve">不达标：前</t>
    </r>
    <r>
      <rPr>
        <sz val="10"/>
        <rFont val="Arial"/>
        <family val="0"/>
        <charset val="1"/>
      </rPr>
      <t xml:space="preserve">3</t>
    </r>
    <r>
      <rPr>
        <sz val="10"/>
        <rFont val="WenQuanYi Zen Hei"/>
        <family val="2"/>
      </rPr>
      <t xml:space="preserve">次会话中没有三层同时有探测点的会话</t>
    </r>
    <r>
      <rPr>
        <sz val="10"/>
        <rFont val="Arial"/>
        <family val="0"/>
        <charset val="1"/>
      </rPr>
      <t xml:space="preserve">(John 2</t>
    </r>
    <r>
      <rPr>
        <sz val="10"/>
        <rFont val="WenQuanYi Zen Hei"/>
        <family val="2"/>
      </rPr>
      <t xml:space="preserve">；</t>
    </r>
    <r>
      <rPr>
        <sz val="10"/>
        <rFont val="Arial"/>
        <family val="0"/>
        <charset val="1"/>
      </rPr>
      <t xml:space="preserve">Tyler</t>
    </r>
    <r>
      <rPr>
        <sz val="10"/>
        <rFont val="WenQuanYi Zen Hei"/>
        <family val="2"/>
      </rPr>
      <t xml:space="preserve">、</t>
    </r>
    <r>
      <rPr>
        <sz val="10"/>
        <rFont val="Arial"/>
        <family val="0"/>
        <charset val="1"/>
      </rPr>
      <t xml:space="preserve">Richard 1</t>
    </r>
    <r>
      <rPr>
        <sz val="10"/>
        <rFont val="WenQuanYi Zen Hei"/>
        <family val="2"/>
      </rPr>
      <t xml:space="preserve">、</t>
    </r>
    <r>
      <rPr>
        <sz val="10"/>
        <rFont val="Arial"/>
        <family val="0"/>
        <charset val="1"/>
      </rPr>
      <t xml:space="preserve">3)</t>
    </r>
  </si>
  <si>
    <r>
      <rPr>
        <sz val="10"/>
        <rFont val="Arial"/>
        <family val="0"/>
        <charset val="1"/>
      </rPr>
      <t xml:space="preserve">014-A </t>
    </r>
    <r>
      <rPr>
        <sz val="10"/>
        <rFont val="WenQuanYi Zen Hei"/>
        <family val="2"/>
      </rPr>
      <t xml:space="preserve">全班功能相关干预小组（</t>
    </r>
    <r>
      <rPr>
        <sz val="10"/>
        <rFont val="Arial"/>
        <family val="0"/>
        <charset val="1"/>
      </rPr>
      <t xml:space="preserve">CW-FIT</t>
    </r>
    <r>
      <rPr>
        <sz val="10"/>
        <rFont val="WenQuanYi Zen Hei"/>
        <family val="2"/>
      </rPr>
      <t xml:space="preserve">）对台湾融合班一名孤独症谱系障碍小学生行为的影响</t>
    </r>
  </si>
  <si>
    <r>
      <rPr>
        <sz val="10"/>
        <rFont val="Arial"/>
        <family val="0"/>
        <charset val="1"/>
      </rPr>
      <t xml:space="preserve">5.0</t>
    </r>
    <r>
      <rPr>
        <sz val="10"/>
        <rFont val="WenQuanYi Zen Hei"/>
        <family val="2"/>
      </rPr>
      <t xml:space="preserve">不达标：</t>
    </r>
    <r>
      <rPr>
        <sz val="10"/>
        <rFont val="Arial"/>
        <family val="0"/>
        <charset val="1"/>
      </rPr>
      <t xml:space="preserve">IOA</t>
    </r>
    <r>
      <rPr>
        <sz val="10"/>
        <rFont val="WenQuanYi Zen Hei"/>
        <family val="2"/>
      </rPr>
      <t xml:space="preserve">未覆盖每一阶段</t>
    </r>
  </si>
  <si>
    <r>
      <rPr>
        <sz val="10"/>
        <rFont val="Arial"/>
        <family val="0"/>
        <charset val="1"/>
      </rPr>
      <t xml:space="preserve">015-A </t>
    </r>
    <r>
      <rPr>
        <sz val="10"/>
        <rFont val="WenQuanYi Zen Hei"/>
        <family val="2"/>
      </rPr>
      <t xml:space="preserve">运用结构分析探讨孤独症高中生同伴支持安排的效果与个别化</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</si>
  <si>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t>
    </r>
  </si>
  <si>
    <r>
      <rPr>
        <sz val="10"/>
        <rFont val="Arial"/>
        <family val="0"/>
        <charset val="1"/>
      </rPr>
      <t xml:space="preserve">023-A </t>
    </r>
    <r>
      <rPr>
        <sz val="10"/>
        <rFont val="WenQuanYi Zen Hei"/>
        <family val="2"/>
      </rPr>
      <t xml:space="preserve">在台湾小学融合课堂中实施同伴介入干预向两名孤独症谱系学生和一名注意缺陷多动障碍学生教授行为期望</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</si>
  <si>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次会话内无三层垂直重叠的探测点；同上</t>
    </r>
  </si>
  <si>
    <r>
      <rPr>
        <sz val="10"/>
        <rFont val="Arial"/>
        <family val="0"/>
        <charset val="1"/>
      </rPr>
      <t xml:space="preserve">026-A </t>
    </r>
    <r>
      <rPr>
        <sz val="10"/>
        <rFont val="WenQuanYi Zen Hei"/>
        <family val="2"/>
      </rPr>
      <t xml:space="preserve">运用三级视频示范模型向一名孤独症幼儿教授身体活动：一项试点研究</t>
    </r>
  </si>
  <si>
    <r>
      <rPr>
        <sz val="10"/>
        <rFont val="Arial"/>
        <family val="0"/>
        <charset val="1"/>
      </rPr>
      <t xml:space="preserve">5.0</t>
    </r>
    <r>
      <rPr>
        <sz val="10"/>
        <rFont val="WenQuanYi Zen Hei"/>
        <family val="2"/>
      </rPr>
      <t xml:space="preserve">不达标：按</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条款也不满足：无</t>
    </r>
    <r>
      <rPr>
        <sz val="10"/>
        <rFont val="Arial"/>
        <family val="0"/>
        <charset val="1"/>
      </rPr>
      <t xml:space="preserve">3</t>
    </r>
    <r>
      <rPr>
        <sz val="10"/>
        <rFont val="WenQuanYi Zen Hei"/>
        <family val="2"/>
      </rPr>
      <t xml:space="preserve">个时间点上对同一干预的效果展示</t>
    </r>
  </si>
  <si>
    <r>
      <rPr>
        <sz val="10"/>
        <rFont val="Arial"/>
        <family val="0"/>
        <charset val="1"/>
      </rPr>
      <t xml:space="preserve">031-A </t>
    </r>
    <r>
      <rPr>
        <sz val="10"/>
        <rFont val="WenQuanYi Zen Hei"/>
        <family val="2"/>
      </rPr>
      <t xml:space="preserve">运用综合分析及据此制定的干预促进重新融入学校</t>
    </r>
  </si>
  <si>
    <r>
      <rPr>
        <sz val="10"/>
        <rFont val="Arial"/>
        <family val="0"/>
        <charset val="1"/>
      </rPr>
      <t xml:space="preserve">5.0</t>
    </r>
    <r>
      <rPr>
        <sz val="10"/>
        <rFont val="WenQuanYi Zen Hei"/>
        <family val="2"/>
      </rPr>
      <t xml:space="preserve">不达标：同左；治疗延伸期</t>
    </r>
    <r>
      <rPr>
        <sz val="10"/>
        <rFont val="Arial"/>
        <family val="0"/>
        <charset val="1"/>
      </rPr>
      <t xml:space="preserve">IOA</t>
    </r>
    <r>
      <rPr>
        <sz val="10"/>
        <rFont val="WenQuanYi Zen Hei"/>
        <family val="2"/>
      </rPr>
      <t xml:space="preserve">仅</t>
    </r>
    <r>
      <rPr>
        <sz val="10"/>
        <rFont val="Arial"/>
        <family val="0"/>
        <charset val="1"/>
      </rPr>
      <t xml:space="preserve">6%(&lt;20%)</t>
    </r>
  </si>
  <si>
    <r>
      <rPr>
        <sz val="10"/>
        <rFont val="Arial"/>
        <family val="0"/>
        <charset val="1"/>
      </rPr>
      <t xml:space="preserve">034-A </t>
    </r>
    <r>
      <rPr>
        <sz val="10"/>
        <rFont val="WenQuanYi Zen Hei"/>
        <family val="2"/>
      </rPr>
      <t xml:space="preserve">运用同伴介入与教育工作者引导促进融合托育环境中孤独症谱系障碍幼儿的轮流行为</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</si>
  <si>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保留同一条探测要求</t>
    </r>
    <r>
      <rPr>
        <sz val="10"/>
        <rFont val="Arial"/>
        <family val="0"/>
        <charset val="1"/>
      </rPr>
      <t xml:space="preserve">)</t>
    </r>
  </si>
  <si>
    <r>
      <rPr>
        <sz val="10"/>
        <rFont val="Arial"/>
        <family val="0"/>
        <charset val="1"/>
      </rPr>
      <t xml:space="preserve">038-A </t>
    </r>
    <r>
      <rPr>
        <sz val="10"/>
        <rFont val="WenQuanYi Zen Hei"/>
        <family val="2"/>
      </rPr>
      <t xml:space="preserve">共同视频示范对孤独症谱系障碍儿童非脚本化游戏行为的影响</t>
    </r>
  </si>
  <si>
    <r>
      <rPr>
        <sz val="10"/>
        <rFont val="Arial"/>
        <family val="0"/>
        <charset val="1"/>
      </rPr>
      <t xml:space="preserve">041-A </t>
    </r>
    <r>
      <rPr>
        <sz val="10"/>
        <rFont val="WenQuanYi Zen Hei"/>
        <family val="2"/>
      </rPr>
      <t xml:space="preserve">社会故事对促进融合情境中伴有孤独症谱系障碍的聋及重听学生社会互动与参与的效果</t>
    </r>
  </si>
  <si>
    <r>
      <rPr>
        <sz val="10"/>
        <rFont val="Arial"/>
        <family val="0"/>
        <charset val="1"/>
      </rPr>
      <t xml:space="preserve">5.0</t>
    </r>
    <r>
      <rPr>
        <sz val="10"/>
        <rFont val="WenQuanYi Zen Hei"/>
        <family val="2"/>
      </rPr>
      <t xml:space="preserve">不达标：违反同时性要求</t>
    </r>
  </si>
  <si>
    <r>
      <rPr>
        <sz val="10"/>
        <rFont val="Arial"/>
        <family val="0"/>
        <charset val="1"/>
      </rPr>
      <t xml:space="preserve">045-A </t>
    </r>
    <r>
      <rPr>
        <sz val="10"/>
        <rFont val="WenQuanYi Zen Hei"/>
        <family val="2"/>
      </rPr>
      <t xml:space="preserve">视频示范在教授孤独症谱系障碍儿童身体活动型合作游戏中的有效性</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</si>
  <si>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次会话无垂直重叠；</t>
    </r>
    <r>
      <rPr>
        <sz val="10"/>
        <rFont val="Arial"/>
        <family val="0"/>
        <charset val="1"/>
      </rPr>
      <t xml:space="preserve">Efe</t>
    </r>
    <r>
      <rPr>
        <sz val="10"/>
        <rFont val="WenQuanYi Zen Hei"/>
        <family val="2"/>
      </rPr>
      <t xml:space="preserve">进入干预时其他层尚无基线数据</t>
    </r>
    <r>
      <rPr>
        <sz val="10"/>
        <rFont val="Arial"/>
        <family val="0"/>
        <charset val="1"/>
      </rPr>
      <t xml:space="preserve">(</t>
    </r>
    <r>
      <rPr>
        <sz val="10"/>
        <rFont val="WenQuanYi Zen Hei"/>
        <family val="2"/>
      </rPr>
      <t xml:space="preserve">违反同时性</t>
    </r>
    <r>
      <rPr>
        <sz val="10"/>
        <rFont val="Arial"/>
        <family val="0"/>
        <charset val="1"/>
      </rPr>
      <t xml:space="preserve">)</t>
    </r>
  </si>
  <si>
    <t xml:space="preserve">15 Kasari et al. 2016</t>
  </si>
  <si>
    <r>
      <rPr>
        <sz val="10"/>
        <rFont val="Arial"/>
        <family val="0"/>
        <charset val="1"/>
      </rPr>
      <t xml:space="preserve">5.0</t>
    </r>
    <r>
      <rPr>
        <sz val="10"/>
        <rFont val="WenQuanYi Zen Hei"/>
        <family val="2"/>
      </rPr>
      <t xml:space="preserve">下主要结局不达标，仅出度指标有保留；作者决定排除</t>
    </r>
  </si>
  <si>
    <t xml:space="preserve">20 Kretzmann et al. 2015</t>
  </si>
  <si>
    <r>
      <rPr>
        <sz val="10"/>
        <rFont val="WenQuanYi Zen Hei"/>
        <family val="2"/>
      </rPr>
      <t xml:space="preserve">无法确认儿童是否在学校随机分组前入组</t>
    </r>
    <r>
      <rPr>
        <sz val="10"/>
        <rFont val="Arial"/>
        <family val="0"/>
        <charset val="1"/>
      </rPr>
      <t xml:space="preserve">(5.0</t>
    </r>
    <r>
      <rPr>
        <sz val="10"/>
        <rFont val="WenQuanYi Zen Hei"/>
        <family val="2"/>
      </rPr>
      <t xml:space="preserve">需证明基线等同</t>
    </r>
    <r>
      <rPr>
        <sz val="10"/>
        <rFont val="Arial"/>
        <family val="0"/>
        <charset val="1"/>
      </rPr>
      <t xml:space="preserve">)</t>
    </r>
    <r>
      <rPr>
        <sz val="10"/>
        <rFont val="WenQuanYi Zen Hei"/>
        <family val="2"/>
      </rPr>
      <t xml:space="preserve">；作者决定排除</t>
    </r>
  </si>
  <si>
    <r>
      <rPr>
        <sz val="10"/>
        <rFont val="Arial"/>
        <family val="0"/>
        <charset val="1"/>
      </rPr>
      <t xml:space="preserve">002-B </t>
    </r>
    <r>
      <rPr>
        <sz val="10"/>
        <rFont val="WenQuanYi Zen Hei"/>
        <family val="2"/>
      </rPr>
      <t xml:space="preserve">孤独症谱系障碍青少年与校内社交技能小组：比较干预环境和同伴构成的随机试验</t>
    </r>
  </si>
  <si>
    <r>
      <rPr>
        <sz val="10"/>
        <rFont val="Arial"/>
        <family val="0"/>
        <charset val="1"/>
      </rPr>
      <t xml:space="preserve">5.0</t>
    </r>
    <r>
      <rPr>
        <sz val="10"/>
        <rFont val="WenQuanYi Zen Hei"/>
        <family val="2"/>
      </rPr>
      <t xml:space="preserve">不达标</t>
    </r>
    <r>
      <rPr>
        <sz val="10"/>
        <rFont val="Arial"/>
        <family val="0"/>
        <charset val="1"/>
      </rPr>
      <t xml:space="preserve">(</t>
    </r>
    <r>
      <rPr>
        <sz val="10"/>
        <rFont val="WenQuanYi Zen Hei"/>
        <family val="2"/>
      </rPr>
      <t xml:space="preserve">保守流失边界</t>
    </r>
    <r>
      <rPr>
        <sz val="10"/>
        <rFont val="Arial"/>
        <family val="0"/>
        <charset val="1"/>
      </rPr>
      <t xml:space="preserve">)</t>
    </r>
    <r>
      <rPr>
        <sz val="10"/>
        <rFont val="WenQuanYi Zen Hei"/>
        <family val="2"/>
      </rPr>
      <t xml:space="preserve">：同左</t>
    </r>
  </si>
  <si>
    <r>
      <rPr>
        <sz val="10"/>
        <rFont val="Arial"/>
        <family val="0"/>
        <charset val="1"/>
      </rPr>
      <t xml:space="preserve">003-B </t>
    </r>
    <r>
      <rPr>
        <sz val="10"/>
        <rFont val="WenQuanYi Zen Hei"/>
        <family val="2"/>
      </rPr>
      <t xml:space="preserve">加速实现公平：句法引导对孤独症儿童融合教育及可持续发展目标</t>
    </r>
    <r>
      <rPr>
        <sz val="10"/>
        <rFont val="Arial"/>
        <family val="0"/>
        <charset val="1"/>
      </rPr>
      <t xml:space="preserve">4</t>
    </r>
    <r>
      <rPr>
        <sz val="10"/>
        <rFont val="WenQuanYi Zen Hei"/>
        <family val="2"/>
      </rPr>
      <t xml:space="preserve">的因果影响</t>
    </r>
  </si>
  <si>
    <r>
      <rPr>
        <sz val="10"/>
        <rFont val="Arial"/>
        <family val="0"/>
        <charset val="1"/>
      </rPr>
      <t xml:space="preserve">5.0</t>
    </r>
    <r>
      <rPr>
        <sz val="10"/>
        <rFont val="WenQuanYi Zen Hei"/>
        <family val="2"/>
      </rPr>
      <t xml:space="preserve">不达标：同左</t>
    </r>
  </si>
  <si>
    <r>
      <rPr>
        <sz val="10"/>
        <rFont val="Arial"/>
        <family val="0"/>
        <charset val="1"/>
      </rPr>
      <t xml:space="preserve">005-B </t>
    </r>
    <r>
      <rPr>
        <sz val="10"/>
        <rFont val="WenQuanYi Zen Hei"/>
        <family val="2"/>
      </rPr>
      <t xml:space="preserve">普通教育课堂中孤独症学生的学业与社会参与结果：实施融合实践以提升生活质量所面临的挑战</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</si>
  <si>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还明确要求：学校随机化后才确定的学生须证明基线等同</t>
    </r>
  </si>
  <si>
    <r>
      <rPr>
        <sz val="10"/>
        <rFont val="Arial"/>
        <family val="0"/>
        <charset val="1"/>
      </rPr>
      <t xml:space="preserve">006-B </t>
    </r>
    <r>
      <rPr>
        <sz val="10"/>
        <rFont val="WenQuanYi Zen Hei"/>
        <family val="2"/>
      </rPr>
      <t xml:space="preserve">基于幼儿园的普适性情绪教育项目对</t>
    </r>
    <r>
      <rPr>
        <sz val="10"/>
        <rFont val="Arial"/>
        <family val="0"/>
        <charset val="1"/>
      </rPr>
      <t xml:space="preserve">3</t>
    </r>
    <r>
      <rPr>
        <sz val="10"/>
        <rFont val="WenQuanYi Zen Hei"/>
        <family val="2"/>
      </rPr>
      <t xml:space="preserve">至</t>
    </r>
    <r>
      <rPr>
        <sz val="10"/>
        <rFont val="Arial"/>
        <family val="0"/>
        <charset val="1"/>
      </rPr>
      <t xml:space="preserve">5</t>
    </r>
    <r>
      <rPr>
        <sz val="10"/>
        <rFont val="WenQuanYi Zen Hei"/>
        <family val="2"/>
      </rPr>
      <t xml:space="preserve">岁孤独症谱系儿童的有效性</t>
    </r>
  </si>
  <si>
    <r>
      <rPr>
        <sz val="10"/>
        <rFont val="Arial"/>
        <family val="0"/>
        <charset val="1"/>
      </rPr>
      <t xml:space="preserve">008-B </t>
    </r>
    <r>
      <rPr>
        <sz val="10"/>
        <rFont val="WenQuanYi Zen Hei"/>
        <family val="2"/>
      </rPr>
      <t xml:space="preserve">小学柔道与空手道作为促进孤独症儿童社会融合的手段</t>
    </r>
  </si>
  <si>
    <r>
      <rPr>
        <sz val="10"/>
        <rFont val="WenQuanYi Zen Hei"/>
        <family val="2"/>
      </rPr>
      <t xml:space="preserve">两种干预比较、无未干预对照，教练人数未报告</t>
    </r>
    <r>
      <rPr>
        <sz val="10"/>
        <rFont val="Arial"/>
        <family val="0"/>
        <charset val="1"/>
      </rPr>
      <t xml:space="preserve">(</t>
    </r>
    <r>
      <rPr>
        <sz val="10"/>
        <rFont val="WenQuanYi Zen Hei"/>
        <family val="2"/>
      </rPr>
      <t xml:space="preserve">可能构成混淆</t>
    </r>
    <r>
      <rPr>
        <sz val="10"/>
        <rFont val="Arial"/>
        <family val="0"/>
        <charset val="1"/>
      </rPr>
      <t xml:space="preserve">)</t>
    </r>
    <r>
      <rPr>
        <sz val="10"/>
        <rFont val="WenQuanYi Zen Hei"/>
        <family val="2"/>
      </rPr>
      <t xml:space="preserve">；作者决定排除</t>
    </r>
  </si>
  <si>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评级对照汇总</t>
    </r>
  </si>
  <si>
    <t xml:space="preserve">单一被试共 45 篇（A组43篇 + 户秀美2025、张晓敏2026）；组间设计共 9 篇（B组8篇 + 沙鹏2023）。计数均由公式从后两张表自动统计。视觉分析的证据评级为初判，需第二评分者核对。</t>
  </si>
  <si>
    <t xml:space="preserve">一、单一被试：各版本评级篇数</t>
  </si>
  <si>
    <t xml:space="preserve">评级</t>
  </si>
  <si>
    <t xml:space="preserve">3.0</t>
  </si>
  <si>
    <t xml:space="preserve">5.0</t>
  </si>
  <si>
    <t xml:space="preserve">达标合计（无保留+有保留）</t>
  </si>
  <si>
    <t xml:space="preserve">两版评级一致 / 不一致</t>
  </si>
  <si>
    <t xml:space="preserve">←左：一致；右：不一致</t>
  </si>
  <si>
    <t xml:space="preserve">二、单一被试：3.0（行）× 5.0（列）交叉表</t>
  </si>
  <si>
    <t xml:space="preserve">3.0 \ 5.0</t>
  </si>
  <si>
    <t xml:space="preserve">三、3.0 证据评级（仅3.0达标的研究，视觉分析初判）</t>
  </si>
  <si>
    <t xml:space="preserve">证据等级</t>
  </si>
  <si>
    <t xml:space="preserve">篇数</t>
  </si>
  <si>
    <t xml:space="preserve">强证据</t>
  </si>
  <si>
    <t xml:space="preserve">中等证据</t>
  </si>
  <si>
    <t xml:space="preserve">按条件分别评定（008A交替处理：加重毯无证据、工作盒强证据）</t>
  </si>
  <si>
    <t xml:space="preserve">四、组间设计：评级篇数（3.0与5.0结果相同，差别只在流失边界的选择）</t>
  </si>
  <si>
    <t xml:space="preserve">宽松/乐观边界</t>
  </si>
  <si>
    <t xml:space="preserve">保守/谨慎边界</t>
  </si>
  <si>
    <t xml:space="preserve">达标合计</t>
  </si>
  <si>
    <t xml:space="preserve">五、两版结果不一致的原因（单一被试）</t>
  </si>
  <si>
    <t xml:space="preserve">原因</t>
  </si>
  <si>
    <t xml:space="preserve">涉及研究</t>
  </si>
  <si>
    <t xml:space="preserve">变化方向</t>
  </si>
  <si>
    <r>
      <rPr>
        <sz val="10"/>
        <rFont val="Arial"/>
        <family val="0"/>
        <charset val="1"/>
      </rPr>
      <t xml:space="preserve">5.0 </t>
    </r>
    <r>
      <rPr>
        <sz val="10"/>
        <rFont val="WenQuanYi Zen Hei"/>
        <family val="2"/>
      </rPr>
      <t xml:space="preserve">要求首个基线≥</t>
    </r>
    <r>
      <rPr>
        <sz val="10"/>
        <rFont val="Arial"/>
        <family val="0"/>
        <charset val="1"/>
      </rPr>
      <t xml:space="preserve">6</t>
    </r>
    <r>
      <rPr>
        <sz val="10"/>
        <rFont val="WenQuanYi Zen Hei"/>
        <family val="2"/>
      </rPr>
      <t xml:space="preserve">个数据点才能</t>
    </r>
    <r>
      <rPr>
        <sz val="10"/>
        <rFont val="Arial"/>
        <family val="0"/>
        <charset val="1"/>
      </rPr>
      <t xml:space="preserve">"</t>
    </r>
    <r>
      <rPr>
        <sz val="10"/>
        <rFont val="WenQuanYi Zen Hei"/>
        <family val="2"/>
      </rPr>
      <t xml:space="preserve">无保留</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是每阶段≥</t>
    </r>
    <r>
      <rPr>
        <sz val="10"/>
        <rFont val="Arial"/>
        <family val="0"/>
        <charset val="1"/>
      </rPr>
      <t xml:space="preserve">5</t>
    </r>
    <r>
      <rPr>
        <sz val="10"/>
        <rFont val="WenQuanYi Zen Hei"/>
        <family val="2"/>
      </rPr>
      <t xml:space="preserve">点）</t>
    </r>
  </si>
  <si>
    <r>
      <rPr>
        <sz val="10"/>
        <rFont val="Arial"/>
        <family val="0"/>
        <charset val="1"/>
      </rPr>
      <t xml:space="preserve">005A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027A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037A</t>
    </r>
    <r>
      <rPr>
        <sz val="10"/>
        <rFont val="WenQuanYi Zen Hei"/>
        <family val="2"/>
      </rPr>
      <t xml:space="preserve">、</t>
    </r>
    <r>
      <rPr>
        <sz val="10"/>
        <rFont val="Arial"/>
        <family val="0"/>
        <charset val="1"/>
      </rPr>
      <t xml:space="preserve">040A</t>
    </r>
    <r>
      <rPr>
        <sz val="10"/>
        <rFont val="WenQuanYi Zen Hei"/>
        <family val="2"/>
      </rPr>
      <t xml:space="preserve">、</t>
    </r>
    <r>
      <rPr>
        <sz val="10"/>
        <rFont val="Arial"/>
        <family val="0"/>
        <charset val="1"/>
      </rPr>
      <t xml:space="preserve">043A</t>
    </r>
  </si>
  <si>
    <r>
      <rPr>
        <sz val="10"/>
        <rFont val="Arial"/>
        <family val="0"/>
        <charset val="1"/>
      </rPr>
      <t xml:space="preserve">3.0 </t>
    </r>
    <r>
      <rPr>
        <sz val="10"/>
        <rFont val="WenQuanYi Zen Hei"/>
        <family val="2"/>
      </rPr>
      <t xml:space="preserve">无保留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</si>
  <si>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最小治疗方向基线趋势</t>
    </r>
    <r>
      <rPr>
        <sz val="10"/>
        <rFont val="Arial"/>
        <family val="0"/>
        <charset val="1"/>
      </rPr>
      <t xml:space="preserve">"</t>
    </r>
    <r>
      <rPr>
        <sz val="10"/>
        <rFont val="WenQuanYi Zen Hei"/>
        <family val="2"/>
      </rPr>
      <t xml:space="preserve">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t>
    </r>
    <r>
      <rPr>
        <sz val="10"/>
        <rFont val="WenQuanYi Zen Hei"/>
        <family val="2"/>
      </rPr>
      <t xml:space="preserve">即不合格）</t>
    </r>
  </si>
  <si>
    <t xml:space="preserve">002A</t>
  </si>
  <si>
    <r>
      <rPr>
        <sz val="10"/>
        <rFont val="Arial"/>
        <family val="0"/>
        <charset val="1"/>
      </rPr>
      <t xml:space="preserve">5.0 </t>
    </r>
    <r>
      <rPr>
        <sz val="10"/>
        <rFont val="WenQuanYi Zen Hei"/>
        <family val="2"/>
      </rPr>
      <t xml:space="preserve">多探测设计要求首</t>
    </r>
    <r>
      <rPr>
        <sz val="10"/>
        <rFont val="Arial"/>
        <family val="0"/>
        <charset val="1"/>
      </rPr>
      <t xml:space="preserve">3</t>
    </r>
    <r>
      <rPr>
        <sz val="10"/>
        <rFont val="WenQuanYi Zen Hei"/>
        <family val="2"/>
      </rPr>
      <t xml:space="preserve">次会话内至少有一次所有层</t>
    </r>
    <r>
      <rPr>
        <sz val="10"/>
        <rFont val="Arial"/>
        <family val="0"/>
        <charset val="1"/>
      </rPr>
      <t xml:space="preserve">"</t>
    </r>
    <r>
      <rPr>
        <sz val="10"/>
        <rFont val="WenQuanYi Zen Hei"/>
        <family val="2"/>
      </rPr>
      <t xml:space="preserve">垂直重叠</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只要求每层各有</t>
    </r>
    <r>
      <rPr>
        <sz val="10"/>
        <rFont val="Arial"/>
        <family val="0"/>
        <charset val="1"/>
      </rPr>
      <t xml:space="preserve">1</t>
    </r>
    <r>
      <rPr>
        <sz val="10"/>
        <rFont val="WenQuanYi Zen Hei"/>
        <family val="2"/>
      </rPr>
      <t xml:space="preserve">个探测点）</t>
    </r>
  </si>
  <si>
    <t xml:space="preserve">012A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</si>
  <si>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</si>
  <si>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其他单一被试设计</t>
    </r>
    <r>
      <rPr>
        <sz val="10"/>
        <rFont val="Arial"/>
        <family val="0"/>
        <charset val="1"/>
      </rPr>
      <t xml:space="preserve">"</t>
    </r>
    <r>
      <rPr>
        <sz val="10"/>
        <rFont val="WenQuanYi Zen Hei"/>
        <family val="2"/>
      </rPr>
      <t xml:space="preserve">条款，可按公认规范评定手册未列出的设计（</t>
    </r>
    <r>
      <rPr>
        <sz val="10"/>
        <rFont val="Arial"/>
        <family val="0"/>
        <charset val="1"/>
      </rPr>
      <t xml:space="preserve">3.0 </t>
    </r>
    <r>
      <rPr>
        <sz val="10"/>
        <rFont val="WenQuanYi Zen Hei"/>
        <family val="2"/>
      </rPr>
      <t xml:space="preserve">只认撤回、多基线</t>
    </r>
    <r>
      <rPr>
        <sz val="10"/>
        <rFont val="Arial"/>
        <family val="0"/>
        <charset val="1"/>
      </rPr>
      <t xml:space="preserve">/</t>
    </r>
    <r>
      <rPr>
        <sz val="10"/>
        <rFont val="WenQuanYi Zen Hei"/>
        <family val="2"/>
      </rPr>
      <t xml:space="preserve">多探测、交替处理）</t>
    </r>
  </si>
  <si>
    <r>
      <rPr>
        <sz val="10"/>
        <rFont val="Arial"/>
        <family val="0"/>
        <charset val="1"/>
      </rPr>
      <t xml:space="preserve">017A</t>
    </r>
    <r>
      <rPr>
        <sz val="10"/>
        <rFont val="WenQuanYi Zen Hei"/>
        <family val="2"/>
      </rPr>
      <t xml:space="preserve">（重复习得设计）</t>
    </r>
  </si>
  <si>
    <r>
      <rPr>
        <sz val="10"/>
        <rFont val="Arial"/>
        <family val="0"/>
        <charset val="1"/>
      </rPr>
      <t xml:space="preserve">3.0 </t>
    </r>
    <r>
      <rPr>
        <sz val="10"/>
        <rFont val="WenQuanYi Zen Hei"/>
        <family val="2"/>
      </rPr>
      <t xml:space="preserve">不达标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</si>
  <si>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新增零变异例外：≥</t>
    </r>
    <r>
      <rPr>
        <sz val="10"/>
        <rFont val="Arial"/>
        <family val="0"/>
        <charset val="1"/>
      </rPr>
      <t xml:space="preserve">3</t>
    </r>
    <r>
      <rPr>
        <sz val="10"/>
        <rFont val="WenQuanYi Zen Hei"/>
        <family val="2"/>
      </rPr>
      <t xml:space="preserve">个完全相同的数据点即可视为数据量足够</t>
    </r>
  </si>
  <si>
    <t xml:space="preserve">046A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</si>
  <si>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无保留</t>
    </r>
  </si>
  <si>
    <t xml:space="preserve">六、两版共同的不达标原因（单一被试，两版均不达标）</t>
  </si>
  <si>
    <t xml:space="preserve">多探测设计的探测点要求不满足（首3次会话无探测点、他层进入干预时无探测点等）：015A、023A、034A、038A、045A</t>
  </si>
  <si>
    <t xml:space="preserve">基线或干预阶段≤2个数据点：031A</t>
  </si>
  <si>
    <t xml:space="preserve">观察者一致性未覆盖每一阶段：014A</t>
  </si>
  <si>
    <t xml:space="preserve">非同时多基线：041A</t>
  </si>
  <si>
    <t xml:space="preserve">设计类型无法提供3次效果展示（变换条件设计）：026A</t>
  </si>
  <si>
    <t xml:space="preserve">七、评定时采用的操作规则（建议写入方法部分）</t>
  </si>
  <si>
    <r>
      <rPr>
        <sz val="10"/>
        <rFont val="Arial"/>
        <family val="0"/>
        <charset val="1"/>
      </rPr>
      <t xml:space="preserve">1. </t>
    </r>
    <r>
      <rPr>
        <sz val="10"/>
        <rFont val="WenQuanYi Zen Hei"/>
        <family val="2"/>
      </rPr>
      <t xml:space="preserve">评定单位：每篇研究取其主要结局所在的设计；同一研究含多个设计时，以评级最高的设计作为该研究的评级，其余设计的问题写在不达标条目中。</t>
    </r>
  </si>
  <si>
    <r>
      <rPr>
        <sz val="10"/>
        <rFont val="Arial"/>
        <family val="0"/>
        <charset val="1"/>
      </rPr>
      <t xml:space="preserve">2. </t>
    </r>
    <r>
      <rPr>
        <sz val="10"/>
        <rFont val="WenQuanYi Zen Hei"/>
        <family val="2"/>
      </rPr>
      <t xml:space="preserve">观察者一致性：作者报告比例≥</t>
    </r>
    <r>
      <rPr>
        <sz val="10"/>
        <rFont val="Arial"/>
        <family val="0"/>
        <charset val="1"/>
      </rPr>
      <t xml:space="preserve">20%</t>
    </r>
    <r>
      <rPr>
        <sz val="10"/>
        <rFont val="WenQuanYi Zen Hei"/>
        <family val="2"/>
      </rPr>
      <t xml:space="preserve">且一致性≥</t>
    </r>
    <r>
      <rPr>
        <sz val="10"/>
        <rFont val="Arial"/>
        <family val="0"/>
        <charset val="1"/>
      </rPr>
      <t xml:space="preserve">80%</t>
    </r>
    <r>
      <rPr>
        <sz val="10"/>
        <rFont val="WenQuanYi Zen Hei"/>
        <family val="2"/>
      </rPr>
      <t xml:space="preserve">（</t>
    </r>
    <r>
      <rPr>
        <sz val="10"/>
        <rFont val="Arial"/>
        <family val="0"/>
        <charset val="1"/>
      </rPr>
      <t xml:space="preserve">kappa≥.60</t>
    </r>
    <r>
      <rPr>
        <sz val="10"/>
        <rFont val="WenQuanYi Zen Hei"/>
        <family val="2"/>
      </rPr>
      <t xml:space="preserve">）、未明确说明某阶段缺失即视为满足；作者明确说明某阶段未收集（如</t>
    </r>
    <r>
      <rPr>
        <sz val="10"/>
        <rFont val="Arial"/>
        <family val="0"/>
        <charset val="1"/>
      </rPr>
      <t xml:space="preserve">014A</t>
    </r>
    <r>
      <rPr>
        <sz val="10"/>
        <rFont val="WenQuanYi Zen Hei"/>
        <family val="2"/>
      </rPr>
      <t xml:space="preserve">）则不满足。</t>
    </r>
  </si>
  <si>
    <r>
      <rPr>
        <sz val="10"/>
        <rFont val="Arial"/>
        <family val="0"/>
        <charset val="1"/>
      </rPr>
      <t xml:space="preserve">3. </t>
    </r>
    <r>
      <rPr>
        <sz val="10"/>
        <rFont val="WenQuanYi Zen Hei"/>
        <family val="2"/>
      </rPr>
      <t xml:space="preserve">多探测</t>
    </r>
    <r>
      <rPr>
        <sz val="10"/>
        <rFont val="Arial"/>
        <family val="0"/>
        <charset val="1"/>
      </rPr>
      <t xml:space="preserve">"</t>
    </r>
    <r>
      <rPr>
        <sz val="10"/>
        <rFont val="WenQuanYi Zen Hei"/>
        <family val="2"/>
      </rPr>
      <t xml:space="preserve">他层进入干预时须有探测点</t>
    </r>
    <r>
      <rPr>
        <sz val="10"/>
        <rFont val="Arial"/>
        <family val="0"/>
        <charset val="1"/>
      </rPr>
      <t xml:space="preserve">"</t>
    </r>
    <r>
      <rPr>
        <sz val="10"/>
        <rFont val="WenQuanYi Zen Hei"/>
        <family val="2"/>
      </rPr>
      <t xml:space="preserve">：未干预层在其他层首次干预的会话（</t>
    </r>
    <r>
      <rPr>
        <sz val="10"/>
        <rFont val="Arial"/>
        <family val="0"/>
        <charset val="1"/>
      </rPr>
      <t xml:space="preserve">±1</t>
    </r>
    <r>
      <rPr>
        <sz val="10"/>
        <rFont val="WenQuanYi Zen Hei"/>
        <family val="2"/>
      </rPr>
      <t xml:space="preserve">次）或其达到作者预设标准时有探测点即视为满足。</t>
    </r>
  </si>
  <si>
    <r>
      <rPr>
        <sz val="10"/>
        <rFont val="Arial"/>
        <family val="0"/>
        <charset val="1"/>
      </rPr>
      <t xml:space="preserve">4. </t>
    </r>
    <r>
      <rPr>
        <sz val="10"/>
        <rFont val="WenQuanYi Zen Hei"/>
        <family val="2"/>
      </rPr>
      <t xml:space="preserve">组间设计流失边界：</t>
    </r>
    <r>
      <rPr>
        <sz val="10"/>
        <rFont val="Arial"/>
        <family val="0"/>
        <charset val="1"/>
      </rPr>
      <t xml:space="preserve">3.0 </t>
    </r>
    <r>
      <rPr>
        <sz val="10"/>
        <rFont val="WenQuanYi Zen Hei"/>
        <family val="2"/>
      </rPr>
      <t xml:space="preserve">由主题方案规定宽松或保守；</t>
    </r>
    <r>
      <rPr>
        <sz val="10"/>
        <rFont val="Arial"/>
        <family val="0"/>
        <charset val="1"/>
      </rPr>
      <t xml:space="preserve">5.0 </t>
    </r>
    <r>
      <rPr>
        <sz val="10"/>
        <rFont val="WenQuanYi Zen Hei"/>
        <family val="2"/>
      </rPr>
      <t xml:space="preserve">由评审团队选择，有疑问时默认谨慎边界。两种边界的结果都列出（</t>
    </r>
    <r>
      <rPr>
        <sz val="10"/>
        <rFont val="Arial"/>
        <family val="0"/>
        <charset val="1"/>
      </rPr>
      <t xml:space="preserve">002B</t>
    </r>
    <r>
      <rPr>
        <sz val="10"/>
        <rFont val="WenQuanYi Zen Hei"/>
        <family val="2"/>
      </rPr>
      <t xml:space="preserve">、</t>
    </r>
    <r>
      <rPr>
        <sz val="10"/>
        <rFont val="Arial"/>
        <family val="0"/>
        <charset val="1"/>
      </rPr>
      <t xml:space="preserve">007B </t>
    </r>
    <r>
      <rPr>
        <sz val="10"/>
        <rFont val="WenQuanYi Zen Hei"/>
        <family val="2"/>
      </rPr>
      <t xml:space="preserve">受影响）。</t>
    </r>
  </si>
  <si>
    <r>
      <rPr>
        <sz val="10"/>
        <rFont val="Arial"/>
        <family val="0"/>
        <charset val="1"/>
      </rPr>
      <t xml:space="preserve">5. </t>
    </r>
    <r>
      <rPr>
        <sz val="10"/>
        <rFont val="WenQuanYi Zen Hei"/>
        <family val="2"/>
      </rPr>
      <t xml:space="preserve">证据评级（</t>
    </r>
    <r>
      <rPr>
        <sz val="10"/>
        <rFont val="Arial"/>
        <family val="0"/>
        <charset val="1"/>
      </rPr>
      <t xml:space="preserve">3.0 </t>
    </r>
    <r>
      <rPr>
        <sz val="10"/>
        <rFont val="WenQuanYi Zen Hei"/>
        <family val="2"/>
      </rPr>
      <t xml:space="preserve">独有）为本次视觉分析初判，正式使用前需由第二名评分者独立评定并报告一致率；</t>
    </r>
    <r>
      <rPr>
        <sz val="10"/>
        <rFont val="Arial"/>
        <family val="0"/>
        <charset val="1"/>
      </rPr>
      <t xml:space="preserve">5.0 </t>
    </r>
    <r>
      <rPr>
        <sz val="10"/>
        <rFont val="WenQuanYi Zen Hei"/>
        <family val="2"/>
      </rPr>
      <t xml:space="preserve">不再做此步骤。</t>
    </r>
  </si>
  <si>
    <r>
      <rPr>
        <sz val="10"/>
        <rFont val="Arial"/>
        <family val="0"/>
        <charset val="1"/>
      </rPr>
      <t xml:space="preserve">6. </t>
    </r>
    <r>
      <rPr>
        <sz val="10"/>
        <rFont val="WenQuanYi Zen Hei"/>
        <family val="2"/>
      </rPr>
      <t xml:space="preserve">仅部分被试为</t>
    </r>
    <r>
      <rPr>
        <sz val="10"/>
        <rFont val="Arial"/>
        <family val="0"/>
        <charset val="1"/>
      </rPr>
      <t xml:space="preserve">ASD</t>
    </r>
    <r>
      <rPr>
        <sz val="10"/>
        <rFont val="WenQuanYi Zen Hei"/>
        <family val="2"/>
      </rPr>
      <t xml:space="preserve">的研究（</t>
    </r>
    <r>
      <rPr>
        <sz val="10"/>
        <rFont val="Arial"/>
        <family val="0"/>
        <charset val="1"/>
      </rPr>
      <t xml:space="preserve">002A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012A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033A</t>
    </r>
    <r>
      <rPr>
        <sz val="10"/>
        <rFont val="WenQuanYi Zen Hei"/>
        <family val="2"/>
      </rPr>
      <t xml:space="preserve">、</t>
    </r>
    <r>
      <rPr>
        <sz val="10"/>
        <rFont val="Arial"/>
        <family val="0"/>
        <charset val="1"/>
      </rPr>
      <t xml:space="preserve">036A</t>
    </r>
    <r>
      <rPr>
        <sz val="10"/>
        <rFont val="WenQuanYi Zen Hei"/>
        <family val="2"/>
      </rPr>
      <t xml:space="preserve">、</t>
    </r>
    <r>
      <rPr>
        <sz val="10"/>
        <rFont val="Arial"/>
        <family val="0"/>
        <charset val="1"/>
      </rPr>
      <t xml:space="preserve">046A</t>
    </r>
    <r>
      <rPr>
        <sz val="10"/>
        <rFont val="WenQuanYi Zen Hei"/>
        <family val="2"/>
      </rPr>
      <t xml:space="preserve">、</t>
    </r>
    <r>
      <rPr>
        <sz val="10"/>
        <rFont val="Arial"/>
        <family val="0"/>
        <charset val="1"/>
      </rPr>
      <t xml:space="preserve">002B</t>
    </r>
    <r>
      <rPr>
        <sz val="10"/>
        <rFont val="WenQuanYi Zen Hei"/>
        <family val="2"/>
      </rPr>
      <t xml:space="preserve">等），</t>
    </r>
    <r>
      <rPr>
        <sz val="10"/>
        <rFont val="Arial"/>
        <family val="0"/>
        <charset val="1"/>
      </rPr>
      <t xml:space="preserve">WWC</t>
    </r>
    <r>
      <rPr>
        <sz val="10"/>
        <rFont val="WenQuanYi Zen Hei"/>
        <family val="2"/>
      </rPr>
      <t xml:space="preserve">评级针对整个设计；元分析只提取</t>
    </r>
    <r>
      <rPr>
        <sz val="10"/>
        <rFont val="Arial"/>
        <family val="0"/>
        <charset val="1"/>
      </rPr>
      <t xml:space="preserve">ASD</t>
    </r>
    <r>
      <rPr>
        <sz val="10"/>
        <rFont val="WenQuanYi Zen Hei"/>
        <family val="2"/>
      </rPr>
      <t xml:space="preserve">被试数据。</t>
    </r>
  </si>
  <si>
    <t xml:space="preserve">母本（Watkins et al., 2019）28篇：WWC 3.0 与 5.0 重评汇总</t>
  </si>
  <si>
    <t xml:space="preserve">单一被试 25 篇、组间设计 3 篇。0343 按 WWC 3.0 判定这28篇全部达标。下表计数均由公式从"母本单一被试""母本组间设计"两张表统计；视觉分析证据评级为初判。</t>
  </si>
  <si>
    <t xml:space="preserve">一、母本单一被试：各版本评级篇数</t>
  </si>
  <si>
    <t xml:space="preserve">二、母本单一被试：3.0（行）× 5.0（列）交叉表</t>
  </si>
  <si>
    <t xml:space="preserve">三、母本 3.0 证据评级（仅3.0达标者，初判）</t>
  </si>
  <si>
    <t xml:space="preserve">无证据</t>
  </si>
  <si>
    <t xml:space="preserve">四、母本组间设计：评级篇数</t>
  </si>
  <si>
    <t xml:space="preserve">五、母本两版结果不一致的原因</t>
  </si>
  <si>
    <r>
      <rPr>
        <sz val="10"/>
        <rFont val="Arial"/>
        <family val="0"/>
        <charset val="1"/>
      </rPr>
      <t xml:space="preserve">5.0 </t>
    </r>
    <r>
      <rPr>
        <sz val="10"/>
        <rFont val="WenQuanYi Zen Hei"/>
        <family val="2"/>
      </rPr>
      <t xml:space="preserve">把多基线的</t>
    </r>
    <r>
      <rPr>
        <sz val="10"/>
        <rFont val="Arial"/>
        <family val="0"/>
        <charset val="1"/>
      </rPr>
      <t xml:space="preserve">"</t>
    </r>
    <r>
      <rPr>
        <sz val="10"/>
        <rFont val="WenQuanYi Zen Hei"/>
        <family val="2"/>
      </rPr>
      <t xml:space="preserve">同时性</t>
    </r>
    <r>
      <rPr>
        <sz val="10"/>
        <rFont val="Arial"/>
        <family val="0"/>
        <charset val="1"/>
      </rPr>
      <t xml:space="preserve">"</t>
    </r>
    <r>
      <rPr>
        <sz val="10"/>
        <rFont val="WenQuanYi Zen Hei"/>
        <family val="2"/>
      </rPr>
      <t xml:space="preserve">写成明确条款：所有层在任何一层进入干预前都必须已有基线数据</t>
    </r>
  </si>
  <si>
    <r>
      <rPr>
        <sz val="10"/>
        <rFont val="Arial"/>
        <family val="0"/>
        <charset val="1"/>
      </rPr>
      <t xml:space="preserve">Jung 2008</t>
    </r>
    <r>
      <rPr>
        <sz val="10"/>
        <rFont val="WenQuanYi Zen Hei"/>
        <family val="2"/>
      </rPr>
      <t xml:space="preserve">、</t>
    </r>
    <r>
      <rPr>
        <sz val="10"/>
        <rFont val="Arial"/>
        <family val="0"/>
        <charset val="1"/>
      </rPr>
      <t xml:space="preserve">Strain 2011</t>
    </r>
  </si>
  <si>
    <r>
      <rPr>
        <sz val="10"/>
        <rFont val="Arial"/>
        <family val="0"/>
        <charset val="1"/>
      </rPr>
      <t xml:space="preserve">3.0 </t>
    </r>
    <r>
      <rPr>
        <sz val="10"/>
        <rFont val="WenQuanYi Zen Hei"/>
        <family val="2"/>
      </rPr>
      <t xml:space="preserve">无保留</t>
    </r>
    <r>
      <rPr>
        <sz val="10"/>
        <rFont val="Arial"/>
        <family val="0"/>
        <charset val="1"/>
      </rPr>
      <t xml:space="preserve">/</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</si>
  <si>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新增基线趋势检查（初始基线后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 </t>
    </r>
    <r>
      <rPr>
        <sz val="10"/>
        <rFont val="WenQuanYi Zen Hei"/>
        <family val="2"/>
      </rPr>
      <t xml:space="preserve">不得评无保留）</t>
    </r>
  </si>
  <si>
    <t xml:space="preserve">Gardner 2014</t>
  </si>
  <si>
    <r>
      <rPr>
        <sz val="10"/>
        <rFont val="Arial"/>
        <family val="0"/>
        <charset val="1"/>
      </rPr>
      <t xml:space="preserve">5.0 </t>
    </r>
    <r>
      <rPr>
        <sz val="10"/>
        <rFont val="WenQuanYi Zen Hei"/>
        <family val="2"/>
      </rPr>
      <t xml:space="preserve">对差中差</t>
    </r>
    <r>
      <rPr>
        <sz val="10"/>
        <rFont val="Arial"/>
        <family val="0"/>
        <charset val="1"/>
      </rPr>
      <t xml:space="preserve">/</t>
    </r>
    <r>
      <rPr>
        <sz val="10"/>
        <rFont val="WenQuanYi Zen Hei"/>
        <family val="2"/>
      </rPr>
      <t xml:space="preserve">增益分数调整增加</t>
    </r>
    <r>
      <rPr>
        <sz val="10"/>
        <rFont val="Arial"/>
        <family val="0"/>
        <charset val="1"/>
      </rPr>
      <t xml:space="preserve">"</t>
    </r>
    <r>
      <rPr>
        <sz val="10"/>
        <rFont val="WenQuanYi Zen Hei"/>
        <family val="2"/>
      </rPr>
      <t xml:space="preserve">前后测相关≥</t>
    </r>
    <r>
      <rPr>
        <sz val="10"/>
        <rFont val="Arial"/>
        <family val="0"/>
        <charset val="1"/>
      </rPr>
      <t xml:space="preserve">.60"</t>
    </r>
    <r>
      <rPr>
        <sz val="10"/>
        <rFont val="WenQuanYi Zen Hei"/>
        <family val="2"/>
      </rPr>
      <t xml:space="preserve">的条件（</t>
    </r>
    <r>
      <rPr>
        <sz val="10"/>
        <rFont val="Arial"/>
        <family val="0"/>
        <charset val="1"/>
      </rPr>
      <t xml:space="preserve">3.0 </t>
    </r>
    <r>
      <rPr>
        <sz val="10"/>
        <rFont val="WenQuanYi Zen Hei"/>
        <family val="2"/>
      </rPr>
      <t xml:space="preserve">允许 </t>
    </r>
    <r>
      <rPr>
        <sz val="10"/>
        <rFont val="Arial"/>
        <family val="0"/>
        <charset val="1"/>
      </rPr>
      <t xml:space="preserve">WWC </t>
    </r>
    <r>
      <rPr>
        <sz val="10"/>
        <rFont val="WenQuanYi Zen Hei"/>
        <family val="2"/>
      </rPr>
      <t xml:space="preserve">直接做差中差调整）</t>
    </r>
  </si>
  <si>
    <r>
      <rPr>
        <sz val="10"/>
        <rFont val="Arial"/>
        <family val="0"/>
        <charset val="1"/>
      </rPr>
      <t xml:space="preserve">Kasari 2016</t>
    </r>
    <r>
      <rPr>
        <sz val="10"/>
        <rFont val="WenQuanYi Zen Hei"/>
        <family val="2"/>
      </rPr>
      <t xml:space="preserve">（组间）</t>
    </r>
  </si>
  <si>
    <t xml:space="preserve">主要结局：3.0 有保留 → 5.0 不达标（仅出度指标仍为有保留）</t>
  </si>
  <si>
    <t xml:space="preserve">六、与 0343 原判定的出入（按本次统一操作规则）</t>
  </si>
  <si>
    <r>
      <rPr>
        <sz val="10"/>
        <rFont val="Arial"/>
        <family val="0"/>
        <charset val="1"/>
      </rPr>
      <t xml:space="preserve">Hughes 2011</t>
    </r>
    <r>
      <rPr>
        <sz val="10"/>
        <rFont val="WenQuanYi Zen Hei"/>
        <family val="2"/>
      </rPr>
      <t xml:space="preserve">：多探测设计，部分层在首</t>
    </r>
    <r>
      <rPr>
        <sz val="10"/>
        <rFont val="Arial"/>
        <family val="0"/>
        <charset val="1"/>
      </rPr>
      <t xml:space="preserve">3</t>
    </r>
    <r>
      <rPr>
        <sz val="10"/>
        <rFont val="WenQuanYi Zen Hei"/>
        <family val="2"/>
      </rPr>
      <t xml:space="preserve">次会话内没有探测点 → 两版均判不达标（</t>
    </r>
    <r>
      <rPr>
        <sz val="10"/>
        <rFont val="Arial"/>
        <family val="0"/>
        <charset val="1"/>
      </rPr>
      <t xml:space="preserve">0343 </t>
    </r>
    <r>
      <rPr>
        <sz val="10"/>
        <rFont val="WenQuanYi Zen Hei"/>
        <family val="2"/>
      </rPr>
      <t xml:space="preserve">判达标）。若宽松解读多探测条款，两版均为有保留。</t>
    </r>
  </si>
  <si>
    <r>
      <rPr>
        <sz val="10"/>
        <rFont val="Arial"/>
        <family val="0"/>
        <charset val="1"/>
      </rPr>
      <t xml:space="preserve">Koegel 2012</t>
    </r>
    <r>
      <rPr>
        <sz val="10"/>
        <rFont val="WenQuanYi Zen Hei"/>
        <family val="2"/>
      </rPr>
      <t xml:space="preserve">：作者自述</t>
    </r>
    <r>
      <rPr>
        <sz val="10"/>
        <rFont val="Arial"/>
        <family val="0"/>
        <charset val="1"/>
      </rPr>
      <t xml:space="preserve">"</t>
    </r>
    <r>
      <rPr>
        <sz val="10"/>
        <rFont val="WenQuanYi Zen Hei"/>
        <family val="2"/>
      </rPr>
      <t xml:space="preserve">非同时多基线</t>
    </r>
    <r>
      <rPr>
        <sz val="10"/>
        <rFont val="Arial"/>
        <family val="0"/>
        <charset val="1"/>
      </rPr>
      <t xml:space="preserve">"</t>
    </r>
    <r>
      <rPr>
        <sz val="10"/>
        <rFont val="WenQuanYi Zen Hei"/>
        <family val="2"/>
      </rPr>
      <t xml:space="preserve">，唯一的撤回设计第二基线仅</t>
    </r>
    <r>
      <rPr>
        <sz val="10"/>
        <rFont val="Arial"/>
        <family val="0"/>
        <charset val="1"/>
      </rPr>
      <t xml:space="preserve">2</t>
    </r>
    <r>
      <rPr>
        <sz val="10"/>
        <rFont val="WenQuanYi Zen Hei"/>
        <family val="2"/>
      </rPr>
      <t xml:space="preserve">点 → 两版均判不达标（</t>
    </r>
    <r>
      <rPr>
        <sz val="10"/>
        <rFont val="Arial"/>
        <family val="0"/>
        <charset val="1"/>
      </rPr>
      <t xml:space="preserve">0343 </t>
    </r>
    <r>
      <rPr>
        <sz val="10"/>
        <rFont val="WenQuanYi Zen Hei"/>
        <family val="2"/>
      </rPr>
      <t xml:space="preserve">判达标）。若接受非同时多基线，</t>
    </r>
    <r>
      <rPr>
        <sz val="10"/>
        <rFont val="Arial"/>
        <family val="0"/>
        <charset val="1"/>
      </rPr>
      <t xml:space="preserve">3.0 </t>
    </r>
    <r>
      <rPr>
        <sz val="10"/>
        <rFont val="WenQuanYi Zen Hei"/>
        <family val="2"/>
      </rPr>
      <t xml:space="preserve">为有保留。</t>
    </r>
  </si>
  <si>
    <r>
      <rPr>
        <sz val="10"/>
        <rFont val="Arial"/>
        <family val="0"/>
        <charset val="1"/>
      </rPr>
      <t xml:space="preserve">Sansosti 2008</t>
    </r>
    <r>
      <rPr>
        <sz val="10"/>
        <rFont val="WenQuanYi Zen Hei"/>
        <family val="2"/>
      </rPr>
      <t xml:space="preserve">：设计两版均无保留，但视觉分析为</t>
    </r>
    <r>
      <rPr>
        <sz val="10"/>
        <rFont val="Arial"/>
        <family val="0"/>
        <charset val="1"/>
      </rPr>
      <t xml:space="preserve">"</t>
    </r>
    <r>
      <rPr>
        <sz val="10"/>
        <rFont val="WenQuanYi Zen Hei"/>
        <family val="2"/>
      </rPr>
      <t xml:space="preserve">无证据</t>
    </r>
    <r>
      <rPr>
        <sz val="10"/>
        <rFont val="Arial"/>
        <family val="0"/>
        <charset val="1"/>
      </rPr>
      <t xml:space="preserve">"</t>
    </r>
    <r>
      <rPr>
        <sz val="10"/>
        <rFont val="WenQuanYi Zen Hei"/>
        <family val="2"/>
      </rPr>
      <t xml:space="preserve">（社会故事阶段效果未持续，效果主要出现在追加提示之后）。</t>
    </r>
    <r>
      <rPr>
        <sz val="10"/>
        <rFont val="Arial"/>
        <family val="0"/>
        <charset val="1"/>
      </rPr>
      <t xml:space="preserve">0343 </t>
    </r>
    <r>
      <rPr>
        <sz val="10"/>
        <rFont val="WenQuanYi Zen Hei"/>
        <family val="2"/>
      </rPr>
      <t xml:space="preserve">未单独报告证据等级。</t>
    </r>
  </si>
  <si>
    <t xml:space="preserve">启示：0343 对多探测、同时性条款的执行比本次宽松。新纳入研究中因同类原因判为不达标的（015A、023A、034A、038A、045A、041A）与这两篇属同一情况，母本与新研究应采用同一套解读，并在方法部分写明。</t>
  </si>
  <si>
    <t xml:space="preserve">七、母本 + 新纳入研究合计（单一被试）</t>
  </si>
  <si>
    <t xml:space="preserve">总篇数</t>
  </si>
  <si>
    <t xml:space="preserve">文件</t>
  </si>
  <si>
    <r>
      <rPr>
        <b val="true"/>
        <sz val="10"/>
        <color rgb="FFFFFFFF"/>
        <rFont val="Arial"/>
        <family val="0"/>
        <charset val="1"/>
      </rPr>
      <t xml:space="preserve">3.0 </t>
    </r>
    <r>
      <rPr>
        <b val="true"/>
        <sz val="10"/>
        <color rgb="FFFFFFFF"/>
        <rFont val="WenQuanYi Zen Hei"/>
        <family val="2"/>
      </rPr>
      <t xml:space="preserve">评级</t>
    </r>
  </si>
  <si>
    <r>
      <rPr>
        <b val="true"/>
        <sz val="10"/>
        <color rgb="FFFFFFFF"/>
        <rFont val="Arial"/>
        <family val="0"/>
        <charset val="1"/>
      </rPr>
      <t xml:space="preserve">3.0 </t>
    </r>
    <r>
      <rPr>
        <b val="true"/>
        <sz val="10"/>
        <color rgb="FFFFFFFF"/>
        <rFont val="WenQuanYi Zen Hei"/>
        <family val="2"/>
      </rPr>
      <t xml:space="preserve">不达标条目</t>
    </r>
  </si>
  <si>
    <r>
      <rPr>
        <b val="true"/>
        <sz val="10"/>
        <color rgb="FFFFFFFF"/>
        <rFont val="Arial"/>
        <family val="0"/>
        <charset val="1"/>
      </rPr>
      <t xml:space="preserve">5.0 </t>
    </r>
    <r>
      <rPr>
        <b val="true"/>
        <sz val="10"/>
        <color rgb="FFFFFFFF"/>
        <rFont val="WenQuanYi Zen Hei"/>
        <family val="2"/>
      </rPr>
      <t xml:space="preserve">评级</t>
    </r>
  </si>
  <si>
    <r>
      <rPr>
        <b val="true"/>
        <sz val="10"/>
        <color rgb="FFFFFFFF"/>
        <rFont val="Arial"/>
        <family val="0"/>
        <charset val="1"/>
      </rPr>
      <t xml:space="preserve">5.0 </t>
    </r>
    <r>
      <rPr>
        <b val="true"/>
        <sz val="10"/>
        <color rgb="FFFFFFFF"/>
        <rFont val="WenQuanYi Zen Hei"/>
        <family val="2"/>
      </rPr>
      <t xml:space="preserve">不达标条目</t>
    </r>
  </si>
  <si>
    <t xml:space="preserve">两版不一致的原因</t>
  </si>
  <si>
    <r>
      <rPr>
        <b val="true"/>
        <sz val="10"/>
        <color rgb="FFFFFFFF"/>
        <rFont val="Arial"/>
        <family val="0"/>
        <charset val="1"/>
      </rPr>
      <t xml:space="preserve">3.0 </t>
    </r>
    <r>
      <rPr>
        <b val="true"/>
        <sz val="10"/>
        <color rgb="FFFFFFFF"/>
        <rFont val="WenQuanYi Zen Hei"/>
        <family val="2"/>
      </rPr>
      <t xml:space="preserve">证据评级（视觉分析，初判）</t>
    </r>
  </si>
  <si>
    <t xml:space="preserve">备注</t>
  </si>
  <si>
    <r>
      <rPr>
        <b val="true"/>
        <sz val="10"/>
        <color rgb="FFFFFFFF"/>
        <rFont val="Arial"/>
        <family val="0"/>
        <charset val="1"/>
      </rPr>
      <t xml:space="preserve">3.0</t>
    </r>
    <r>
      <rPr>
        <b val="true"/>
        <sz val="10"/>
        <color rgb="FFFFFFFF"/>
        <rFont val="WenQuanYi Zen Hei"/>
        <family val="2"/>
      </rPr>
      <t xml:space="preserve">类别</t>
    </r>
  </si>
  <si>
    <r>
      <rPr>
        <b val="true"/>
        <sz val="10"/>
        <color rgb="FFFFFFFF"/>
        <rFont val="Arial"/>
        <family val="0"/>
        <charset val="1"/>
      </rPr>
      <t xml:space="preserve">5.0</t>
    </r>
    <r>
      <rPr>
        <b val="true"/>
        <sz val="10"/>
        <color rgb="FFFFFFFF"/>
        <rFont val="WenQuanYi Zen Hei"/>
        <family val="2"/>
      </rPr>
      <t xml:space="preserve">类别</t>
    </r>
  </si>
  <si>
    <t xml:space="preserve">两版是否一致</t>
  </si>
  <si>
    <t xml:space="preserve">多探测(3对)</t>
  </si>
  <si>
    <r>
      <rPr>
        <sz val="10"/>
        <rFont val="Arial"/>
        <family val="0"/>
        <charset val="1"/>
      </rPr>
      <t xml:space="preserve">Olin</t>
    </r>
    <r>
      <rPr>
        <sz val="10"/>
        <rFont val="WenQuanYi Zen Hei"/>
        <family val="2"/>
      </rPr>
      <t xml:space="preserve">、</t>
    </r>
    <r>
      <rPr>
        <sz val="10"/>
        <rFont val="Arial"/>
        <family val="0"/>
        <charset val="1"/>
      </rPr>
      <t xml:space="preserve">Titus</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2</t>
    </r>
    <r>
      <rPr>
        <sz val="10"/>
        <rFont val="WenQuanYi Zen Hei"/>
        <family val="2"/>
      </rPr>
      <t xml:space="preserve">个探测点</t>
    </r>
  </si>
  <si>
    <t xml:space="preserve">同左（干预前未连续3个探测点）</t>
  </si>
  <si>
    <t xml:space="preserve">中等(初判；Wilmer效果滞后)</t>
  </si>
  <si>
    <r>
      <rPr>
        <sz val="10"/>
        <rFont val="Arial"/>
        <family val="0"/>
        <charset val="1"/>
      </rPr>
      <t xml:space="preserve">IOA 30%</t>
    </r>
    <r>
      <rPr>
        <sz val="10"/>
        <rFont val="WenQuanYi Zen Hei"/>
        <family val="2"/>
      </rPr>
      <t xml:space="preserve">，社交发起</t>
    </r>
    <r>
      <rPr>
        <sz val="10"/>
        <rFont val="Arial"/>
        <family val="0"/>
        <charset val="1"/>
      </rPr>
      <t xml:space="preserve">87%</t>
    </r>
    <r>
      <rPr>
        <sz val="10"/>
        <rFont val="WenQuanYi Zen Hei"/>
        <family val="2"/>
      </rPr>
      <t xml:space="preserve">；无脚本言语</t>
    </r>
    <r>
      <rPr>
        <sz val="10"/>
        <rFont val="Arial"/>
        <family val="0"/>
        <charset val="1"/>
      </rPr>
      <t xml:space="preserve">IOA 75%</t>
    </r>
    <r>
      <rPr>
        <sz val="10"/>
        <rFont val="WenQuanYi Zen Hei"/>
        <family val="2"/>
      </rPr>
      <t xml:space="preserve">不达标（次要结局）</t>
    </r>
  </si>
  <si>
    <r>
      <rPr>
        <b val="true"/>
        <sz val="10"/>
        <rFont val="Arial"/>
        <family val="0"/>
        <charset val="1"/>
      </rPr>
      <t xml:space="preserve">002-A </t>
    </r>
    <r>
      <rPr>
        <b val="true"/>
        <sz val="10"/>
        <rFont val="WenQuanYi Zen Hei"/>
        <family val="2"/>
      </rPr>
      <t xml:space="preserve">学前课堂中的同伴介入共同注意干预</t>
    </r>
  </si>
  <si>
    <t xml:space="preserve">设计1多基线(4人)+设计2多探测(3人)</t>
  </si>
  <si>
    <t xml:space="preserve">无保留(设计1)</t>
  </si>
  <si>
    <t xml:space="preserve">设计2：首3次会话及干预前探测不足→有保留</t>
  </si>
  <si>
    <t xml:space="preserve">设计1：Arthur、Jason基线有治疗方向趋势(NAP&gt;.85)，不满足"最小基线趋势"</t>
  </si>
  <si>
    <r>
      <rPr>
        <sz val="10"/>
        <rFont val="Arial"/>
        <family val="0"/>
        <charset val="1"/>
      </rPr>
      <t xml:space="preserve">5.0</t>
    </r>
    <r>
      <rPr>
        <sz val="10"/>
        <rFont val="WenQuanYi Zen Hei"/>
        <family val="2"/>
      </rPr>
      <t xml:space="preserve">新增基线趋势检查</t>
    </r>
  </si>
  <si>
    <t xml:space="preserve">强(初判，设计1)</t>
  </si>
  <si>
    <t xml:space="preserve">仅4名按教育鉴定为ASD；IOA基线57%、干预35.4%</t>
  </si>
  <si>
    <t xml:space="preserve">多基线(3个班)</t>
  </si>
  <si>
    <r>
      <rPr>
        <sz val="10"/>
        <rFont val="Arial"/>
        <family val="0"/>
        <charset val="1"/>
      </rPr>
      <t xml:space="preserve">Pre-K</t>
    </r>
    <r>
      <rPr>
        <sz val="10"/>
        <rFont val="WenQuanYi Zen Hei"/>
        <family val="2"/>
      </rPr>
      <t xml:space="preserve">干预期仅</t>
    </r>
    <r>
      <rPr>
        <sz val="10"/>
        <rFont val="Arial"/>
        <family val="0"/>
        <charset val="1"/>
      </rPr>
      <t xml:space="preserve">4</t>
    </r>
    <r>
      <rPr>
        <sz val="10"/>
        <rFont val="WenQuanYi Zen Hei"/>
        <family val="2"/>
      </rPr>
      <t xml:space="preserve">个点</t>
    </r>
  </si>
  <si>
    <r>
      <rPr>
        <sz val="10"/>
        <rFont val="Arial"/>
        <family val="0"/>
        <charset val="1"/>
      </rPr>
      <t xml:space="preserve">Pre-K</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</si>
  <si>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中等(初判；PS层基线波动大、重叠多)</t>
  </si>
  <si>
    <r>
      <rPr>
        <sz val="10"/>
        <rFont val="Arial"/>
        <family val="0"/>
        <charset val="1"/>
      </rPr>
      <t xml:space="preserve">IOA 38%</t>
    </r>
    <r>
      <rPr>
        <sz val="10"/>
        <rFont val="WenQuanYi Zen Hei"/>
        <family val="2"/>
      </rPr>
      <t xml:space="preserve">，基线</t>
    </r>
    <r>
      <rPr>
        <sz val="10"/>
        <rFont val="Arial"/>
        <family val="0"/>
        <charset val="1"/>
      </rPr>
      <t xml:space="preserve">88%/</t>
    </r>
    <r>
      <rPr>
        <sz val="10"/>
        <rFont val="WenQuanYi Zen Hei"/>
        <family val="2"/>
      </rPr>
      <t xml:space="preserve">干预</t>
    </r>
    <r>
      <rPr>
        <sz val="10"/>
        <rFont val="Arial"/>
        <family val="0"/>
        <charset val="1"/>
      </rPr>
      <t xml:space="preserve">94%</t>
    </r>
  </si>
  <si>
    <r>
      <rPr>
        <b val="true"/>
        <sz val="10"/>
        <rFont val="Arial"/>
        <family val="0"/>
        <charset val="1"/>
      </rPr>
      <t xml:space="preserve">005-A </t>
    </r>
    <r>
      <rPr>
        <b val="true"/>
        <sz val="10"/>
        <rFont val="WenQuanYi Zen Hei"/>
        <family val="2"/>
      </rPr>
      <t xml:space="preserve">超越行为形态：关注孤独症学生社交技能训练的功能性影响</t>
    </r>
  </si>
  <si>
    <t xml:space="preserve">多基线(3人)</t>
  </si>
  <si>
    <r>
      <rPr>
        <sz val="10"/>
        <rFont val="Arial"/>
        <family val="0"/>
        <charset val="1"/>
      </rPr>
      <t xml:space="preserve">Juan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</si>
  <si>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Arial"/>
        <family val="0"/>
        <charset val="1"/>
      </rPr>
      <t xml:space="preserve">5.0</t>
    </r>
    <r>
      <rPr>
        <sz val="10"/>
        <rFont val="WenQuanYi Zen Hei"/>
        <family val="2"/>
      </rPr>
      <t xml:space="preserve">基线需≥</t>
    </r>
    <r>
      <rPr>
        <sz val="10"/>
        <rFont val="Arial"/>
        <family val="0"/>
        <charset val="1"/>
      </rPr>
      <t xml:space="preserve">6</t>
    </r>
    <r>
      <rPr>
        <sz val="10"/>
        <rFont val="WenQuanYi Zen Hei"/>
        <family val="2"/>
      </rPr>
      <t xml:space="preserve">点</t>
    </r>
  </si>
  <si>
    <t xml:space="preserve">中等(初判；Doug、Elli基线波动大且与干预期重叠)</t>
  </si>
  <si>
    <r>
      <rPr>
        <sz val="10"/>
        <rFont val="Arial"/>
        <family val="0"/>
        <charset val="1"/>
      </rPr>
      <t xml:space="preserve">IOA 35%</t>
    </r>
    <r>
      <rPr>
        <sz val="10"/>
        <rFont val="WenQuanYi Zen Hei"/>
        <family val="2"/>
      </rPr>
      <t xml:space="preserve">，社交发声</t>
    </r>
    <r>
      <rPr>
        <sz val="10"/>
        <rFont val="Arial"/>
        <family val="0"/>
        <charset val="1"/>
      </rPr>
      <t xml:space="preserve">91%</t>
    </r>
    <r>
      <rPr>
        <sz val="10"/>
        <rFont val="WenQuanYi Zen Hei"/>
        <family val="2"/>
      </rPr>
      <t xml:space="preserve">；同伴回应</t>
    </r>
    <r>
      <rPr>
        <sz val="10"/>
        <rFont val="Arial"/>
        <family val="0"/>
        <charset val="1"/>
      </rPr>
      <t xml:space="preserve">IOA 74%</t>
    </r>
    <r>
      <rPr>
        <sz val="10"/>
        <rFont val="WenQuanYi Zen Hei"/>
        <family val="2"/>
      </rPr>
      <t xml:space="preserve">（次要结局）</t>
    </r>
  </si>
  <si>
    <t xml:space="preserve">多探测(3人)</t>
  </si>
  <si>
    <r>
      <rPr>
        <sz val="10"/>
        <rFont val="Arial"/>
        <family val="0"/>
        <charset val="1"/>
      </rPr>
      <t xml:space="preserve">Laura</t>
    </r>
    <r>
      <rPr>
        <sz val="10"/>
        <rFont val="WenQuanYi Zen Hei"/>
        <family val="2"/>
      </rPr>
      <t xml:space="preserve">干预期仅</t>
    </r>
    <r>
      <rPr>
        <sz val="10"/>
        <rFont val="Arial"/>
        <family val="0"/>
        <charset val="1"/>
      </rPr>
      <t xml:space="preserve">4</t>
    </r>
    <r>
      <rPr>
        <sz val="10"/>
        <rFont val="WenQuanYi Zen Hei"/>
        <family val="2"/>
      </rPr>
      <t xml:space="preserve">点</t>
    </r>
  </si>
  <si>
    <t xml:space="preserve">强(初判)</t>
  </si>
  <si>
    <r>
      <rPr>
        <sz val="10"/>
        <rFont val="Arial"/>
        <family val="0"/>
        <charset val="1"/>
      </rPr>
      <t xml:space="preserve">IOA 50%</t>
    </r>
    <r>
      <rPr>
        <sz val="10"/>
        <rFont val="WenQuanYi Zen Hei"/>
        <family val="2"/>
      </rPr>
      <t xml:space="preserve">探测，均≥</t>
    </r>
    <r>
      <rPr>
        <sz val="10"/>
        <rFont val="Arial"/>
        <family val="0"/>
        <charset val="1"/>
      </rPr>
      <t xml:space="preserve">95%</t>
    </r>
  </si>
  <si>
    <r>
      <rPr>
        <b val="true"/>
        <sz val="10"/>
        <rFont val="Arial"/>
        <family val="0"/>
        <charset val="1"/>
      </rPr>
      <t xml:space="preserve">007-A </t>
    </r>
    <r>
      <rPr>
        <b val="true"/>
        <sz val="10"/>
        <rFont val="WenQuanYi Zen Hei"/>
        <family val="2"/>
      </rPr>
      <t xml:space="preserve">不同教学形式与环境下同伴支持安排对重度障碍学生的影响</t>
    </r>
  </si>
  <si>
    <r>
      <rPr>
        <sz val="10"/>
        <rFont val="Arial"/>
        <family val="0"/>
        <charset val="1"/>
      </rPr>
      <t xml:space="preserve">Adrian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</si>
  <si>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强(初判，互动)</t>
  </si>
  <si>
    <t xml:space="preserve">仅Adrian为ASD；IOA 27.3%，均&gt;90%</t>
  </si>
  <si>
    <t xml:space="preserve">交替处理(1人；基线→加重毯/工作盒/基线交替)</t>
  </si>
  <si>
    <t xml:space="preserve">加重毯vs基线：无证据；工作盒vs基线：强(初判)</t>
  </si>
  <si>
    <t xml:space="preserve">各条件≥5点、连续同条件≤2；IOA 33–60%，88.8%</t>
  </si>
  <si>
    <r>
      <rPr>
        <sz val="10"/>
        <rFont val="Arial"/>
        <family val="0"/>
        <charset val="1"/>
      </rPr>
      <t xml:space="preserve">Amber/Regina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Milo/Xane</t>
    </r>
    <r>
      <rPr>
        <sz val="10"/>
        <rFont val="WenQuanYi Zen Hei"/>
        <family val="2"/>
      </rPr>
      <t xml:space="preserve">干预</t>
    </r>
    <r>
      <rPr>
        <sz val="10"/>
        <rFont val="Arial"/>
        <family val="0"/>
        <charset val="1"/>
      </rPr>
      <t xml:space="preserve">4</t>
    </r>
    <r>
      <rPr>
        <sz val="10"/>
        <rFont val="WenQuanYi Zen Hei"/>
        <family val="2"/>
      </rPr>
      <t xml:space="preserve">点；</t>
    </r>
    <r>
      <rPr>
        <sz val="10"/>
        <rFont val="Arial"/>
        <family val="0"/>
        <charset val="1"/>
      </rPr>
      <t xml:space="preserve">Enzo</t>
    </r>
    <r>
      <rPr>
        <sz val="10"/>
        <rFont val="WenQuanYi Zen Hei"/>
        <family val="2"/>
      </rPr>
      <t xml:space="preserve">、</t>
    </r>
    <r>
      <rPr>
        <sz val="10"/>
        <rFont val="Arial"/>
        <family val="0"/>
        <charset val="1"/>
      </rPr>
      <t xml:space="preserve">Xane</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</si>
  <si>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首个基线&lt;6点；干预前探测不足3个</t>
  </si>
  <si>
    <t xml:space="preserve">强(初判，ASD儿童回应)</t>
  </si>
  <si>
    <t xml:space="preserve">主要因变量为同伴发起；ASD儿童回应为次要结局；IOA 33%，87–97%</t>
  </si>
  <si>
    <t xml:space="preserve">多探测跨3名同伴+A-B-A-B+C</t>
  </si>
  <si>
    <t xml:space="preserve">第二基线(A2)各层仅3点；两个干预期不是同一干预(B 与 B+C)</t>
  </si>
  <si>
    <t xml:space="preserve">首个基线&lt;6点；A2仅3点</t>
  </si>
  <si>
    <t xml:space="preserve">强(初判，社交发起)</t>
  </si>
  <si>
    <t xml:space="preserve">两名ASD儿童(Yaoyao、Baobao)各一组图；IOA≥30%，&gt;80%</t>
  </si>
  <si>
    <t xml:space="preserve">多基线(4人)</t>
  </si>
  <si>
    <r>
      <rPr>
        <sz val="10"/>
        <rFont val="Arial"/>
        <family val="0"/>
        <charset val="1"/>
      </rPr>
      <t xml:space="preserve">Edward</t>
    </r>
    <r>
      <rPr>
        <sz val="10"/>
        <rFont val="WenQuanYi Zen Hei"/>
        <family val="2"/>
      </rPr>
      <t xml:space="preserve">、</t>
    </r>
    <r>
      <rPr>
        <sz val="10"/>
        <rFont val="Arial"/>
        <family val="0"/>
        <charset val="1"/>
      </rPr>
      <t xml:space="preserve">Sam</t>
    </r>
    <r>
      <rPr>
        <sz val="10"/>
        <rFont val="WenQuanYi Zen Hei"/>
        <family val="2"/>
      </rPr>
      <t xml:space="preserve">干预期仅</t>
    </r>
    <r>
      <rPr>
        <sz val="10"/>
        <rFont val="Arial"/>
        <family val="0"/>
        <charset val="1"/>
      </rPr>
      <t xml:space="preserve">4</t>
    </r>
    <r>
      <rPr>
        <sz val="10"/>
        <rFont val="WenQuanYi Zen Hei"/>
        <family val="2"/>
      </rPr>
      <t xml:space="preserve">点；</t>
    </r>
    <r>
      <rPr>
        <sz val="10"/>
        <rFont val="Arial"/>
        <family val="0"/>
        <charset val="1"/>
      </rPr>
      <t xml:space="preserve">Sam</t>
    </r>
    <r>
      <rPr>
        <sz val="10"/>
        <rFont val="WenQuanYi Zen Hei"/>
        <family val="2"/>
      </rPr>
      <t xml:space="preserve">基线仅</t>
    </r>
    <r>
      <rPr>
        <sz val="10"/>
        <rFont val="Arial"/>
        <family val="0"/>
        <charset val="1"/>
      </rPr>
      <t xml:space="preserve">5</t>
    </r>
    <r>
      <rPr>
        <sz val="10"/>
        <rFont val="WenQuanYi Zen Hei"/>
        <family val="2"/>
      </rPr>
      <t xml:space="preserve">点且始于第</t>
    </r>
    <r>
      <rPr>
        <sz val="10"/>
        <rFont val="Arial"/>
        <family val="0"/>
        <charset val="1"/>
      </rPr>
      <t xml:space="preserve">20</t>
    </r>
    <r>
      <rPr>
        <sz val="10"/>
        <rFont val="WenQuanYi Zen Hei"/>
        <family val="2"/>
      </rPr>
      <t xml:space="preserve">次会话（</t>
    </r>
    <r>
      <rPr>
        <sz val="10"/>
        <rFont val="Arial"/>
        <family val="0"/>
        <charset val="1"/>
      </rPr>
      <t xml:space="preserve">James</t>
    </r>
    <r>
      <rPr>
        <sz val="10"/>
        <rFont val="WenQuanYi Zen Hei"/>
        <family val="2"/>
      </rPr>
      <t xml:space="preserve">已进入干预）</t>
    </r>
  </si>
  <si>
    <r>
      <rPr>
        <sz val="10"/>
        <rFont val="Arial"/>
        <family val="0"/>
        <charset val="1"/>
      </rPr>
      <t xml:space="preserve">Sam</t>
    </r>
    <r>
      <rPr>
        <sz val="10"/>
        <rFont val="WenQuanYi Zen Hei"/>
        <family val="2"/>
      </rPr>
      <t xml:space="preserve">违反同时性</t>
    </r>
    <r>
      <rPr>
        <sz val="10"/>
        <rFont val="Arial"/>
        <family val="0"/>
        <charset val="1"/>
      </rPr>
      <t xml:space="preserve">(James</t>
    </r>
    <r>
      <rPr>
        <sz val="10"/>
        <rFont val="WenQuanYi Zen Hei"/>
        <family val="2"/>
      </rPr>
      <t xml:space="preserve">干预前</t>
    </r>
    <r>
      <rPr>
        <sz val="10"/>
        <rFont val="Arial"/>
        <family val="0"/>
        <charset val="1"/>
      </rPr>
      <t xml:space="preserve">Sam</t>
    </r>
    <r>
      <rPr>
        <sz val="10"/>
        <rFont val="WenQuanYi Zen Hei"/>
        <family val="2"/>
      </rPr>
      <t xml:space="preserve">无基线数据</t>
    </r>
    <r>
      <rPr>
        <sz val="10"/>
        <rFont val="Arial"/>
        <family val="0"/>
        <charset val="1"/>
      </rPr>
      <t xml:space="preserve">)→</t>
    </r>
    <r>
      <rPr>
        <sz val="10"/>
        <rFont val="WenQuanYi Zen Hei"/>
        <family val="2"/>
      </rPr>
      <t xml:space="preserve">去掉</t>
    </r>
    <r>
      <rPr>
        <sz val="10"/>
        <rFont val="Arial"/>
        <family val="0"/>
        <charset val="1"/>
      </rPr>
      <t xml:space="preserve">Sam</t>
    </r>
    <r>
      <rPr>
        <sz val="10"/>
        <rFont val="WenQuanYi Zen Hei"/>
        <family val="2"/>
      </rPr>
      <t xml:space="preserve">后以其余</t>
    </r>
    <r>
      <rPr>
        <sz val="10"/>
        <rFont val="Arial"/>
        <family val="0"/>
        <charset val="1"/>
      </rPr>
      <t xml:space="preserve">3</t>
    </r>
    <r>
      <rPr>
        <sz val="10"/>
        <rFont val="WenQuanYi Zen Hei"/>
        <family val="2"/>
      </rPr>
      <t xml:space="preserve">层评；</t>
    </r>
    <r>
      <rPr>
        <sz val="10"/>
        <rFont val="Arial"/>
        <family val="0"/>
        <charset val="1"/>
      </rPr>
      <t xml:space="preserve">Edward</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</si>
  <si>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中等(初判；Sam有非效果，James基线有上升点)</t>
  </si>
  <si>
    <t xml:space="preserve">两版说明：3.0未明确同时性要求；5.0去掉Sam后仍有保留；IOA 27–33%，&gt;87%</t>
  </si>
  <si>
    <r>
      <rPr>
        <b val="true"/>
        <sz val="10"/>
        <rFont val="Arial"/>
        <family val="0"/>
        <charset val="1"/>
      </rPr>
      <t xml:space="preserve">012-A </t>
    </r>
    <r>
      <rPr>
        <b val="true"/>
        <sz val="10"/>
        <rFont val="WenQuanYi Zen Hei"/>
        <family val="2"/>
      </rPr>
      <t xml:space="preserve">运用结构分析指导重度障碍高中生的同伴支持安排</t>
    </r>
  </si>
  <si>
    <t xml:space="preserve">首3次会话每层≥1个探测点但非连续3个；干预前3次会话内探测不足3个</t>
  </si>
  <si>
    <t xml:space="preserve">不达标(初判)</t>
  </si>
  <si>
    <t xml:space="preserve">前3次会话中没有三层同时有探测点的会话(John 2；Tyler、Richard 1、3)</t>
  </si>
  <si>
    <r>
      <rPr>
        <sz val="10"/>
        <rFont val="Arial"/>
        <family val="0"/>
        <charset val="1"/>
      </rPr>
      <t xml:space="preserve">5.0</t>
    </r>
    <r>
      <rPr>
        <sz val="10"/>
        <rFont val="WenQuanYi Zen Hei"/>
        <family val="2"/>
      </rPr>
      <t xml:space="preserve">要求首</t>
    </r>
    <r>
      <rPr>
        <sz val="10"/>
        <rFont val="Arial"/>
        <family val="0"/>
        <charset val="1"/>
      </rPr>
      <t xml:space="preserve">3</t>
    </r>
    <r>
      <rPr>
        <sz val="10"/>
        <rFont val="WenQuanYi Zen Hei"/>
        <family val="2"/>
      </rPr>
      <t xml:space="preserve">次会话内</t>
    </r>
    <r>
      <rPr>
        <sz val="10"/>
        <rFont val="Arial"/>
        <family val="0"/>
        <charset val="1"/>
      </rPr>
      <t xml:space="preserve">"</t>
    </r>
    <r>
      <rPr>
        <sz val="10"/>
        <rFont val="WenQuanYi Zen Hei"/>
        <family val="2"/>
      </rPr>
      <t xml:space="preserve">垂直重叠</t>
    </r>
    <r>
      <rPr>
        <sz val="10"/>
        <rFont val="Arial"/>
        <family val="0"/>
        <charset val="1"/>
      </rPr>
      <t xml:space="preserve">"</t>
    </r>
  </si>
  <si>
    <t xml:space="preserve">中等(初判；Richard效果弱)</t>
  </si>
  <si>
    <t xml:space="preserve">仅Tyler、Richard为ASD；IOA 37.6%，97.7%</t>
  </si>
  <si>
    <t xml:space="preserve">多基线跨3种行为(1人)</t>
  </si>
  <si>
    <t xml:space="preserve">主谓一致基线仅4点</t>
  </si>
  <si>
    <t xml:space="preserve">首个基线&lt;6点</t>
  </si>
  <si>
    <r>
      <rPr>
        <sz val="10"/>
        <rFont val="Arial"/>
        <family val="0"/>
        <charset val="1"/>
      </rPr>
      <t xml:space="preserve">IOA 25%</t>
    </r>
    <r>
      <rPr>
        <sz val="10"/>
        <rFont val="WenQuanYi Zen Hei"/>
        <family val="2"/>
      </rPr>
      <t xml:space="preserve">会话，</t>
    </r>
    <r>
      <rPr>
        <sz val="10"/>
        <rFont val="Arial"/>
        <family val="0"/>
        <charset val="1"/>
      </rPr>
      <t xml:space="preserve">95%</t>
    </r>
    <r>
      <rPr>
        <sz val="10"/>
        <rFont val="WenQuanYi Zen Hei"/>
        <family val="2"/>
      </rPr>
      <t xml:space="preserve">；未说明各阶段均有</t>
    </r>
    <r>
      <rPr>
        <sz val="10"/>
        <rFont val="Arial"/>
        <family val="0"/>
        <charset val="1"/>
      </rPr>
      <t xml:space="preserve">IOA</t>
    </r>
    <r>
      <rPr>
        <sz val="10"/>
        <rFont val="WenQuanYi Zen Hei"/>
        <family val="2"/>
      </rPr>
      <t xml:space="preserve">（按作者表述视为满足）</t>
    </r>
  </si>
  <si>
    <t xml:space="preserve">撤回设计A-B-C-B-C(1人)</t>
  </si>
  <si>
    <t xml:space="preserve">最后一阶段未收集IOA(作者自述)</t>
  </si>
  <si>
    <r>
      <rPr>
        <sz val="10"/>
        <rFont val="Arial"/>
        <family val="0"/>
        <charset val="1"/>
      </rPr>
      <t xml:space="preserve">IOA</t>
    </r>
    <r>
      <rPr>
        <sz val="10"/>
        <rFont val="WenQuanYi Zen Hei"/>
        <family val="2"/>
      </rPr>
      <t xml:space="preserve">未覆盖每一阶段</t>
    </r>
  </si>
  <si>
    <r>
      <rPr>
        <sz val="10"/>
        <rFont val="Arial"/>
        <family val="0"/>
        <charset val="1"/>
      </rPr>
      <t xml:space="preserve">IOA</t>
    </r>
    <r>
      <rPr>
        <sz val="10"/>
        <rFont val="WenQuanYi Zen Hei"/>
        <family val="2"/>
      </rPr>
      <t xml:space="preserve">占全部数据点</t>
    </r>
    <r>
      <rPr>
        <sz val="10"/>
        <rFont val="Arial"/>
        <family val="0"/>
        <charset val="1"/>
      </rPr>
      <t xml:space="preserve">21%</t>
    </r>
  </si>
  <si>
    <t xml:space="preserve">多探测(3人)；另含交替处理结构分析</t>
  </si>
  <si>
    <t xml:space="preserve">首3次会话内Allen(首点第6次)、Nathan(首点第7次)无探测点；Samuel干预前3次会话(18–20)无探测点</t>
  </si>
  <si>
    <t xml:space="preserve">首3次会话内无三层垂直重叠的探测点</t>
  </si>
  <si>
    <t xml:space="preserve">严格按横轴会话编号判断；IOA 48.4%，主要结局&gt;90%</t>
  </si>
  <si>
    <t xml:space="preserve">多探测跨3名同伴(焦点儿童Eve 1人)</t>
  </si>
  <si>
    <r>
      <rPr>
        <sz val="10"/>
        <rFont val="Arial"/>
        <family val="0"/>
        <charset val="1"/>
      </rPr>
      <t xml:space="preserve">Jamie</t>
    </r>
    <r>
      <rPr>
        <sz val="10"/>
        <rFont val="WenQuanYi Zen Hei"/>
        <family val="2"/>
      </rPr>
      <t xml:space="preserve">基线</t>
    </r>
    <r>
      <rPr>
        <sz val="10"/>
        <rFont val="Arial"/>
        <family val="0"/>
        <charset val="1"/>
      </rPr>
      <t xml:space="preserve">3–4</t>
    </r>
    <r>
      <rPr>
        <sz val="10"/>
        <rFont val="WenQuanYi Zen Hei"/>
        <family val="2"/>
      </rPr>
      <t xml:space="preserve">点；</t>
    </r>
    <r>
      <rPr>
        <sz val="10"/>
        <rFont val="Arial"/>
        <family val="0"/>
        <charset val="1"/>
      </rPr>
      <t xml:space="preserve">Ashley</t>
    </r>
    <r>
      <rPr>
        <sz val="10"/>
        <rFont val="WenQuanYi Zen Hei"/>
        <family val="2"/>
      </rPr>
      <t xml:space="preserve">干预期仅</t>
    </r>
    <r>
      <rPr>
        <sz val="10"/>
        <rFont val="Arial"/>
        <family val="0"/>
        <charset val="1"/>
      </rPr>
      <t xml:space="preserve">3</t>
    </r>
    <r>
      <rPr>
        <sz val="10"/>
        <rFont val="WenQuanYi Zen Hei"/>
        <family val="2"/>
      </rPr>
      <t xml:space="preserve">点；干预前探测不足</t>
    </r>
    <r>
      <rPr>
        <sz val="10"/>
        <rFont val="Arial"/>
        <family val="0"/>
        <charset val="1"/>
      </rPr>
      <t xml:space="preserve">3</t>
    </r>
    <r>
      <rPr>
        <sz val="10"/>
        <rFont val="WenQuanYi Zen Hei"/>
        <family val="2"/>
      </rPr>
      <t xml:space="preserve">个</t>
    </r>
  </si>
  <si>
    <t xml:space="preserve">首个基线&lt;6点；Ashley干预3点</t>
  </si>
  <si>
    <t xml:space="preserve">中等(初判，Eve沟通/游戏；同伴PRT使用为强)</t>
  </si>
  <si>
    <r>
      <rPr>
        <sz val="10"/>
        <rFont val="Arial"/>
        <family val="0"/>
        <charset val="1"/>
      </rPr>
      <t xml:space="preserve">IOA 80%</t>
    </r>
    <r>
      <rPr>
        <sz val="10"/>
        <rFont val="WenQuanYi Zen Hei"/>
        <family val="2"/>
      </rPr>
      <t xml:space="preserve">会话，</t>
    </r>
    <r>
      <rPr>
        <sz val="10"/>
        <rFont val="Arial"/>
        <family val="0"/>
        <charset val="1"/>
      </rPr>
      <t xml:space="preserve">Eve</t>
    </r>
    <r>
      <rPr>
        <sz val="10"/>
        <rFont val="WenQuanYi Zen Hei"/>
        <family val="2"/>
      </rPr>
      <t xml:space="preserve">沟通</t>
    </r>
    <r>
      <rPr>
        <sz val="10"/>
        <rFont val="Arial"/>
        <family val="0"/>
        <charset val="1"/>
      </rPr>
      <t xml:space="preserve">96%</t>
    </r>
    <r>
      <rPr>
        <sz val="10"/>
        <rFont val="WenQuanYi Zen Hei"/>
        <family val="2"/>
      </rPr>
      <t xml:space="preserve">、游戏</t>
    </r>
    <r>
      <rPr>
        <sz val="10"/>
        <rFont val="Arial"/>
        <family val="0"/>
        <charset val="1"/>
      </rPr>
      <t xml:space="preserve">86%</t>
    </r>
  </si>
  <si>
    <r>
      <rPr>
        <b val="true"/>
        <sz val="10"/>
        <rFont val="Arial"/>
        <family val="0"/>
        <charset val="1"/>
      </rPr>
      <t xml:space="preserve">017-A </t>
    </r>
    <r>
      <rPr>
        <b val="true"/>
        <sz val="10"/>
        <rFont val="WenQuanYi Zen Hei"/>
        <family val="2"/>
      </rPr>
      <t xml:space="preserve">改编与未改编读物对有广泛支持需求学生理解表现影响的比较</t>
    </r>
  </si>
  <si>
    <t xml:space="preserve">重复习得设计(2人；改编书 vs 未改编书)</t>
  </si>
  <si>
    <r>
      <rPr>
        <sz val="10"/>
        <rFont val="Arial"/>
        <family val="0"/>
        <charset val="1"/>
      </rPr>
      <t xml:space="preserve">3.0</t>
    </r>
    <r>
      <rPr>
        <sz val="10"/>
        <rFont val="WenQuanYi Zen Hei"/>
        <family val="2"/>
      </rPr>
      <t xml:space="preserve">只有撤回</t>
    </r>
    <r>
      <rPr>
        <sz val="10"/>
        <rFont val="Arial"/>
        <family val="0"/>
        <charset val="1"/>
      </rPr>
      <t xml:space="preserve">/</t>
    </r>
    <r>
      <rPr>
        <sz val="10"/>
        <rFont val="WenQuanYi Zen Hei"/>
        <family val="2"/>
      </rPr>
      <t xml:space="preserve">多基线</t>
    </r>
    <r>
      <rPr>
        <sz val="10"/>
        <rFont val="Arial"/>
        <family val="0"/>
        <charset val="1"/>
      </rPr>
      <t xml:space="preserve">/</t>
    </r>
    <r>
      <rPr>
        <sz val="10"/>
        <rFont val="WenQuanYi Zen Hei"/>
        <family val="2"/>
      </rPr>
      <t xml:space="preserve">交替处理三类标准，重复习得设计无对应标准</t>
    </r>
  </si>
  <si>
    <t xml:space="preserve">有保留(初判)</t>
  </si>
  <si>
    <t xml:space="preserve">按5.0"其他单一被试设计"条款：每人5次比较、3个以上时间点；存在偏倚风险→最高有保留</t>
  </si>
  <si>
    <r>
      <rPr>
        <sz val="10"/>
        <rFont val="Arial"/>
        <family val="0"/>
        <charset val="1"/>
      </rPr>
      <t xml:space="preserve">5.0</t>
    </r>
    <r>
      <rPr>
        <sz val="10"/>
        <rFont val="WenQuanYi Zen Hei"/>
        <family val="2"/>
      </rPr>
      <t xml:space="preserve">新增</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t>
    </r>
  </si>
  <si>
    <r>
      <rPr>
        <sz val="10"/>
        <rFont val="Arial"/>
        <family val="0"/>
        <charset val="1"/>
      </rPr>
      <t xml:space="preserve">IOA 40%</t>
    </r>
    <r>
      <rPr>
        <sz val="10"/>
        <rFont val="WenQuanYi Zen Hei"/>
        <family val="2"/>
      </rPr>
      <t xml:space="preserve">，</t>
    </r>
    <r>
      <rPr>
        <sz val="10"/>
        <rFont val="Arial"/>
        <family val="0"/>
        <charset val="1"/>
      </rPr>
      <t xml:space="preserve">80–100%</t>
    </r>
  </si>
  <si>
    <t xml:space="preserve">多探测(3人；实际每次会话均测)</t>
  </si>
  <si>
    <t xml:space="preserve">各层训练期仅4点；学生A基线5点</t>
  </si>
  <si>
    <r>
      <rPr>
        <sz val="10"/>
        <rFont val="Arial"/>
        <family val="0"/>
        <charset val="1"/>
      </rPr>
      <t xml:space="preserve">A</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；训练期</t>
    </r>
    <r>
      <rPr>
        <sz val="10"/>
        <rFont val="Arial"/>
        <family val="0"/>
        <charset val="1"/>
      </rPr>
      <t xml:space="preserve">4</t>
    </r>
    <r>
      <rPr>
        <sz val="10"/>
        <rFont val="WenQuanYi Zen Hei"/>
        <family val="2"/>
      </rPr>
      <t xml:space="preserve">点</t>
    </r>
  </si>
  <si>
    <r>
      <rPr>
        <sz val="10"/>
        <rFont val="Arial"/>
        <family val="0"/>
        <charset val="1"/>
      </rPr>
      <t xml:space="preserve">IOA</t>
    </r>
    <r>
      <rPr>
        <sz val="10"/>
        <rFont val="WenQuanYi Zen Hei"/>
        <family val="2"/>
      </rPr>
      <t xml:space="preserve">约</t>
    </r>
    <r>
      <rPr>
        <sz val="10"/>
        <rFont val="Arial"/>
        <family val="0"/>
        <charset val="1"/>
      </rPr>
      <t xml:space="preserve">39%</t>
    </r>
    <r>
      <rPr>
        <sz val="10"/>
        <rFont val="WenQuanYi Zen Hei"/>
        <family val="2"/>
      </rPr>
      <t xml:space="preserve">基线</t>
    </r>
    <r>
      <rPr>
        <sz val="10"/>
        <rFont val="Arial"/>
        <family val="0"/>
        <charset val="1"/>
      </rPr>
      <t xml:space="preserve">/50%</t>
    </r>
    <r>
      <rPr>
        <sz val="10"/>
        <rFont val="WenQuanYi Zen Hei"/>
        <family val="2"/>
      </rPr>
      <t xml:space="preserve">训练，各阶段</t>
    </r>
    <r>
      <rPr>
        <sz val="10"/>
        <rFont val="Arial"/>
        <family val="0"/>
        <charset val="1"/>
      </rPr>
      <t xml:space="preserve">86–100%</t>
    </r>
  </si>
  <si>
    <r>
      <rPr>
        <sz val="10"/>
        <rFont val="Arial"/>
        <family val="0"/>
        <charset val="1"/>
      </rPr>
      <t xml:space="preserve">Joy</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</si>
  <si>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Joy</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</si>
  <si>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强(初判，投入行为)</t>
  </si>
  <si>
    <r>
      <rPr>
        <sz val="10"/>
        <rFont val="Arial"/>
        <family val="0"/>
        <charset val="1"/>
      </rPr>
      <t xml:space="preserve">IOA≥25%</t>
    </r>
    <r>
      <rPr>
        <sz val="10"/>
        <rFont val="WenQuanYi Zen Hei"/>
        <family val="2"/>
      </rPr>
      <t xml:space="preserve">，</t>
    </r>
    <r>
      <rPr>
        <sz val="10"/>
        <rFont val="Arial"/>
        <family val="0"/>
        <charset val="1"/>
      </rPr>
      <t xml:space="preserve">95–100%</t>
    </r>
  </si>
  <si>
    <t xml:space="preserve">同时多基线(3对)</t>
  </si>
  <si>
    <t xml:space="preserve">第3对干预期仅4点</t>
  </si>
  <si>
    <t xml:space="preserve">第3对干预期4点(第1对基线5点但零变异，可计入)</t>
  </si>
  <si>
    <r>
      <rPr>
        <sz val="10"/>
        <rFont val="Arial"/>
        <family val="0"/>
        <charset val="1"/>
      </rPr>
      <t xml:space="preserve">IOA 40–46%</t>
    </r>
    <r>
      <rPr>
        <sz val="10"/>
        <rFont val="WenQuanYi Zen Hei"/>
        <family val="2"/>
      </rPr>
      <t xml:space="preserve">，</t>
    </r>
    <r>
      <rPr>
        <sz val="10"/>
        <rFont val="Arial"/>
        <family val="0"/>
        <charset val="1"/>
      </rPr>
      <t xml:space="preserve">96%</t>
    </r>
  </si>
  <si>
    <t xml:space="preserve">同时多基线(4对)；基线→教师支持SPT→SPT</t>
  </si>
  <si>
    <t xml:space="preserve">第1对基线仅3点；第3对教师支持期仅3点</t>
  </si>
  <si>
    <t xml:space="preserve">第1对基线3点、第3对干预3点，去掉多余层后仍无法满足无保留</t>
  </si>
  <si>
    <t xml:space="preserve">强(初判，互动游戏)</t>
  </si>
  <si>
    <r>
      <rPr>
        <sz val="10"/>
        <rFont val="Arial"/>
        <family val="0"/>
        <charset val="1"/>
      </rPr>
      <t xml:space="preserve">IOA</t>
    </r>
    <r>
      <rPr>
        <sz val="10"/>
        <rFont val="WenQuanYi Zen Hei"/>
        <family val="2"/>
      </rPr>
      <t xml:space="preserve">每种条件</t>
    </r>
    <r>
      <rPr>
        <sz val="10"/>
        <rFont val="Arial"/>
        <family val="0"/>
        <charset val="1"/>
      </rPr>
      <t xml:space="preserve">30%</t>
    </r>
    <r>
      <rPr>
        <sz val="10"/>
        <rFont val="WenQuanYi Zen Hei"/>
        <family val="2"/>
      </rPr>
      <t xml:space="preserve">，</t>
    </r>
    <r>
      <rPr>
        <sz val="10"/>
        <rFont val="Arial"/>
        <family val="0"/>
        <charset val="1"/>
      </rPr>
      <t xml:space="preserve">&gt;80%</t>
    </r>
  </si>
  <si>
    <r>
      <rPr>
        <sz val="10"/>
        <rFont val="Arial"/>
        <family val="0"/>
        <charset val="1"/>
      </rPr>
      <t xml:space="preserve">James</t>
    </r>
    <r>
      <rPr>
        <sz val="10"/>
        <rFont val="WenQuanYi Zen Hei"/>
        <family val="2"/>
      </rPr>
      <t xml:space="preserve">干预前</t>
    </r>
    <r>
      <rPr>
        <sz val="10"/>
        <rFont val="Arial"/>
        <family val="0"/>
        <charset val="1"/>
      </rPr>
      <t xml:space="preserve">3</t>
    </r>
    <r>
      <rPr>
        <sz val="10"/>
        <rFont val="WenQuanYi Zen Hei"/>
        <family val="2"/>
      </rPr>
      <t xml:space="preserve">次会话内无探测点；</t>
    </r>
    <r>
      <rPr>
        <sz val="10"/>
        <rFont val="Arial"/>
        <family val="0"/>
        <charset val="1"/>
      </rPr>
      <t xml:space="preserve">William</t>
    </r>
    <r>
      <rPr>
        <sz val="10"/>
        <rFont val="WenQuanYi Zen Hei"/>
        <family val="2"/>
      </rPr>
      <t xml:space="preserve">进入干预时</t>
    </r>
    <r>
      <rPr>
        <sz val="10"/>
        <rFont val="Arial"/>
        <family val="0"/>
        <charset val="1"/>
      </rPr>
      <t xml:space="preserve">James</t>
    </r>
    <r>
      <rPr>
        <sz val="10"/>
        <rFont val="WenQuanYi Zen Hei"/>
        <family val="2"/>
      </rPr>
      <t xml:space="preserve">无探测点；</t>
    </r>
    <r>
      <rPr>
        <sz val="10"/>
        <rFont val="Arial"/>
        <family val="0"/>
        <charset val="1"/>
      </rPr>
      <t xml:space="preserve">James</t>
    </r>
    <r>
      <rPr>
        <sz val="10"/>
        <rFont val="WenQuanYi Zen Hei"/>
        <family val="2"/>
      </rPr>
      <t xml:space="preserve">基线</t>
    </r>
    <r>
      <rPr>
        <sz val="10"/>
        <rFont val="Arial"/>
        <family val="0"/>
        <charset val="1"/>
      </rPr>
      <t xml:space="preserve">3</t>
    </r>
    <r>
      <rPr>
        <sz val="10"/>
        <rFont val="WenQuanYi Zen Hei"/>
        <family val="2"/>
      </rPr>
      <t xml:space="preserve">点、干预</t>
    </r>
    <r>
      <rPr>
        <sz val="10"/>
        <rFont val="Arial"/>
        <family val="0"/>
        <charset val="1"/>
      </rPr>
      <t xml:space="preserve">4</t>
    </r>
    <r>
      <rPr>
        <sz val="10"/>
        <rFont val="WenQuanYi Zen Hei"/>
        <family val="2"/>
      </rPr>
      <t xml:space="preserve">点</t>
    </r>
  </si>
  <si>
    <t xml:space="preserve">首3次会话内无三层垂直重叠的探测点；同上</t>
  </si>
  <si>
    <r>
      <rPr>
        <sz val="10"/>
        <rFont val="Arial"/>
        <family val="0"/>
        <charset val="1"/>
      </rPr>
      <t xml:space="preserve">IOA</t>
    </r>
    <r>
      <rPr>
        <sz val="10"/>
        <rFont val="WenQuanYi Zen Hei"/>
        <family val="2"/>
      </rPr>
      <t xml:space="preserve">比例未报告</t>
    </r>
    <r>
      <rPr>
        <sz val="10"/>
        <rFont val="Arial"/>
        <family val="0"/>
        <charset val="1"/>
      </rPr>
      <t xml:space="preserve">(</t>
    </r>
    <r>
      <rPr>
        <sz val="10"/>
        <rFont val="WenQuanYi Zen Hei"/>
        <family val="2"/>
      </rPr>
      <t xml:space="preserve">仅称</t>
    </r>
    <r>
      <rPr>
        <sz val="10"/>
        <rFont val="Arial"/>
        <family val="0"/>
        <charset val="1"/>
      </rPr>
      <t xml:space="preserve">100%</t>
    </r>
    <r>
      <rPr>
        <sz val="10"/>
        <rFont val="WenQuanYi Zen Hei"/>
        <family val="2"/>
      </rPr>
      <t xml:space="preserve">一致</t>
    </r>
    <r>
      <rPr>
        <sz val="10"/>
        <rFont val="Arial"/>
        <family val="0"/>
        <charset val="1"/>
      </rPr>
      <t xml:space="preserve">)</t>
    </r>
  </si>
  <si>
    <r>
      <rPr>
        <sz val="10"/>
        <rFont val="Arial"/>
        <family val="0"/>
        <charset val="1"/>
      </rPr>
      <t xml:space="preserve">Murat</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</si>
  <si>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Murat</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</si>
  <si>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Arial"/>
        <family val="0"/>
        <charset val="1"/>
      </rPr>
      <t xml:space="preserve">IOA≥30%</t>
    </r>
    <r>
      <rPr>
        <sz val="10"/>
        <rFont val="WenQuanYi Zen Hei"/>
        <family val="2"/>
      </rPr>
      <t xml:space="preserve">会话，</t>
    </r>
    <r>
      <rPr>
        <sz val="10"/>
        <rFont val="Arial"/>
        <family val="0"/>
        <charset val="1"/>
      </rPr>
      <t xml:space="preserve">100%</t>
    </r>
  </si>
  <si>
    <t xml:space="preserve">变换条件设计A-B-C-D(1人；三级视频示范)</t>
  </si>
  <si>
    <t xml:space="preserve">不属于撤回/多基线/交替处理；各阶段为不同干预，无同一干预的3次效果展示</t>
  </si>
  <si>
    <t xml:space="preserve">按"其他设计"条款也不满足：无3个时间点上对同一干预的效果展示</t>
  </si>
  <si>
    <r>
      <rPr>
        <sz val="10"/>
        <rFont val="Arial"/>
        <family val="0"/>
        <charset val="1"/>
      </rPr>
      <t xml:space="preserve">IOA 50%</t>
    </r>
    <r>
      <rPr>
        <sz val="10"/>
        <rFont val="WenQuanYi Zen Hei"/>
        <family val="2"/>
      </rPr>
      <t xml:space="preserve">，</t>
    </r>
    <r>
      <rPr>
        <sz val="10"/>
        <rFont val="Arial"/>
        <family val="0"/>
        <charset val="1"/>
      </rPr>
      <t xml:space="preserve">94.6%</t>
    </r>
  </si>
  <si>
    <r>
      <rPr>
        <b val="true"/>
        <sz val="10"/>
        <rFont val="Arial"/>
        <family val="0"/>
        <charset val="1"/>
      </rPr>
      <t xml:space="preserve">027-A </t>
    </r>
    <r>
      <rPr>
        <b val="true"/>
        <sz val="10"/>
        <rFont val="WenQuanYi Zen Hei"/>
        <family val="2"/>
      </rPr>
      <t xml:space="preserve">在融合情境中运用合作性身体活动促进中国孤独症谱系障碍学前儿童的社会互动</t>
    </r>
  </si>
  <si>
    <r>
      <rPr>
        <sz val="10"/>
        <rFont val="Arial"/>
        <family val="0"/>
        <charset val="1"/>
      </rPr>
      <t xml:space="preserve">Jun</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</si>
  <si>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中等(初判；Bo干预期与基线重叠多)</t>
  </si>
  <si>
    <r>
      <rPr>
        <sz val="10"/>
        <rFont val="Arial"/>
        <family val="0"/>
        <charset val="1"/>
      </rPr>
      <t xml:space="preserve">IOA</t>
    </r>
    <r>
      <rPr>
        <sz val="10"/>
        <rFont val="WenQuanYi Zen Hei"/>
        <family val="2"/>
      </rPr>
      <t xml:space="preserve">每人每条件</t>
    </r>
    <r>
      <rPr>
        <sz val="10"/>
        <rFont val="Arial"/>
        <family val="0"/>
        <charset val="1"/>
      </rPr>
      <t xml:space="preserve">30%</t>
    </r>
    <r>
      <rPr>
        <sz val="10"/>
        <rFont val="WenQuanYi Zen Hei"/>
        <family val="2"/>
      </rPr>
      <t xml:space="preserve">，</t>
    </r>
    <r>
      <rPr>
        <sz val="10"/>
        <rFont val="Arial"/>
        <family val="0"/>
        <charset val="1"/>
      </rPr>
      <t xml:space="preserve">96–100%</t>
    </r>
  </si>
  <si>
    <t xml:space="preserve">多基线(3人)；基线→提示+强化→自我管理</t>
  </si>
  <si>
    <r>
      <rPr>
        <sz val="10"/>
        <rFont val="Arial"/>
        <family val="0"/>
        <charset val="1"/>
      </rPr>
      <t xml:space="preserve">Keith</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</si>
  <si>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Keith</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</si>
  <si>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Arial"/>
        <family val="0"/>
        <charset val="1"/>
      </rPr>
      <t xml:space="preserve">IOA≥33%</t>
    </r>
    <r>
      <rPr>
        <sz val="10"/>
        <rFont val="WenQuanYi Zen Hei"/>
        <family val="2"/>
      </rPr>
      <t xml:space="preserve">，平均</t>
    </r>
    <r>
      <rPr>
        <sz val="10"/>
        <rFont val="Arial"/>
        <family val="0"/>
        <charset val="1"/>
      </rPr>
      <t xml:space="preserve">95%</t>
    </r>
  </si>
  <si>
    <r>
      <rPr>
        <b val="true"/>
        <sz val="10"/>
        <rFont val="Arial"/>
        <family val="0"/>
        <charset val="1"/>
      </rPr>
      <t xml:space="preserve">029-A </t>
    </r>
    <r>
      <rPr>
        <b val="true"/>
        <sz val="10"/>
        <rFont val="WenQuanYi Zen Hei"/>
        <family val="2"/>
      </rPr>
      <t xml:space="preserve">良好行为游戏：对融合情境中有和无特殊教育需要学生扰乱行为的影响</t>
    </r>
  </si>
  <si>
    <r>
      <rPr>
        <sz val="10"/>
        <rFont val="Arial"/>
        <family val="0"/>
        <charset val="1"/>
      </rPr>
      <t xml:space="preserve">A-B-A-B</t>
    </r>
    <r>
      <rPr>
        <sz val="10"/>
        <rFont val="WenQuanYi Zen Hei"/>
        <family val="2"/>
      </rPr>
      <t xml:space="preserve">撤回设计</t>
    </r>
    <r>
      <rPr>
        <sz val="10"/>
        <rFont val="Arial"/>
        <family val="0"/>
        <charset val="1"/>
      </rPr>
      <t xml:space="preserve">(</t>
    </r>
    <r>
      <rPr>
        <sz val="10"/>
        <rFont val="WenQuanYi Zen Hei"/>
        <family val="2"/>
      </rPr>
      <t xml:space="preserve">每名学生一个</t>
    </r>
    <r>
      <rPr>
        <sz val="10"/>
        <rFont val="Arial"/>
        <family val="0"/>
        <charset val="1"/>
      </rPr>
      <t xml:space="preserve">)</t>
    </r>
  </si>
  <si>
    <r>
      <rPr>
        <sz val="10"/>
        <rFont val="Arial"/>
        <family val="0"/>
        <charset val="1"/>
      </rPr>
      <t xml:space="preserve">Ali</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</si>
  <si>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强(初判，Ali)</t>
  </si>
  <si>
    <t xml:space="preserve">仅Ali为ASD，其余为特殊需要/典型同伴；IOA每阶段≥20%，91–97%</t>
  </si>
  <si>
    <t xml:space="preserve">多探测(4对)；基线→培训后→AI自我指导</t>
  </si>
  <si>
    <t xml:space="preserve">无保留(仅"AI自我指导 vs 培训后"对比)</t>
  </si>
  <si>
    <t xml:space="preserve">基线→培训为四层同时引入，培训本身无法评；以培训后阶段为对照评AI自我指导</t>
  </si>
  <si>
    <t xml:space="preserve">无保留(初判)</t>
  </si>
  <si>
    <t xml:space="preserve">同左；培训后阶段≥6点，无治疗方向趋势</t>
  </si>
  <si>
    <t xml:space="preserve">强(初判，儿童正确反应)</t>
  </si>
  <si>
    <r>
      <rPr>
        <sz val="10"/>
        <rFont val="Arial"/>
        <family val="0"/>
        <charset val="1"/>
      </rPr>
      <t xml:space="preserve">IOA≥30%</t>
    </r>
    <r>
      <rPr>
        <sz val="10"/>
        <rFont val="WenQuanYi Zen Hei"/>
        <family val="2"/>
      </rPr>
      <t xml:space="preserve">各阶段，</t>
    </r>
    <r>
      <rPr>
        <sz val="10"/>
        <rFont val="Arial"/>
        <family val="0"/>
        <charset val="1"/>
      </rPr>
      <t xml:space="preserve">91–97%</t>
    </r>
  </si>
  <si>
    <t xml:space="preserve">多基线跨3种任务情境(1人)</t>
  </si>
  <si>
    <t xml:space="preserve">偏好任务层基线仅2点(≤2点不能用于效果展示)</t>
  </si>
  <si>
    <t xml:space="preserve">同左；治疗延伸期IOA仅6%(&lt;20%)</t>
  </si>
  <si>
    <r>
      <rPr>
        <sz val="10"/>
        <rFont val="Arial"/>
        <family val="0"/>
        <charset val="1"/>
      </rPr>
      <t xml:space="preserve">IOA</t>
    </r>
    <r>
      <rPr>
        <sz val="10"/>
        <rFont val="WenQuanYi Zen Hei"/>
        <family val="2"/>
      </rPr>
      <t xml:space="preserve">功能分析</t>
    </r>
    <r>
      <rPr>
        <sz val="10"/>
        <rFont val="Arial"/>
        <family val="0"/>
        <charset val="1"/>
      </rPr>
      <t xml:space="preserve">67%</t>
    </r>
    <r>
      <rPr>
        <sz val="10"/>
        <rFont val="WenQuanYi Zen Hei"/>
        <family val="2"/>
      </rPr>
      <t xml:space="preserve">、强化治疗</t>
    </r>
    <r>
      <rPr>
        <sz val="10"/>
        <rFont val="Arial"/>
        <family val="0"/>
        <charset val="1"/>
      </rPr>
      <t xml:space="preserve">31%</t>
    </r>
  </si>
  <si>
    <r>
      <rPr>
        <b val="true"/>
        <sz val="10"/>
        <rFont val="Arial"/>
        <family val="0"/>
        <charset val="1"/>
      </rPr>
      <t xml:space="preserve">032-A </t>
    </r>
    <r>
      <rPr>
        <b val="true"/>
        <sz val="10"/>
        <rFont val="WenQuanYi Zen Hei"/>
        <family val="2"/>
      </rPr>
      <t xml:space="preserve">面向发展障碍学生核心学业内容教学的普通教育教师培训</t>
    </r>
  </si>
  <si>
    <t xml:space="preserve">多探测：教师3人(设计1)+学生3人(设计2)</t>
  </si>
  <si>
    <t xml:space="preserve">无保留(学生设计)</t>
  </si>
  <si>
    <t xml:space="preserve">学生1首个基线仅5点(&lt;6)</t>
  </si>
  <si>
    <t xml:space="preserve">强(初判，学生正确反应)</t>
  </si>
  <si>
    <t xml:space="preserve">学生中2名为ASD；IOA 100%会话，98–100%</t>
  </si>
  <si>
    <t xml:space="preserve">多探测跨学生/班级(3人)</t>
  </si>
  <si>
    <r>
      <rPr>
        <sz val="10"/>
        <rFont val="Arial"/>
        <family val="0"/>
        <charset val="1"/>
      </rPr>
      <t xml:space="preserve">Jacob</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Barry</t>
    </r>
    <r>
      <rPr>
        <sz val="10"/>
        <rFont val="WenQuanYi Zen Hei"/>
        <family val="2"/>
      </rPr>
      <t xml:space="preserve">干预</t>
    </r>
    <r>
      <rPr>
        <sz val="10"/>
        <rFont val="Arial"/>
        <family val="0"/>
        <charset val="1"/>
      </rPr>
      <t xml:space="preserve">4</t>
    </r>
    <r>
      <rPr>
        <sz val="10"/>
        <rFont val="WenQuanYi Zen Hei"/>
        <family val="2"/>
      </rPr>
      <t xml:space="preserve">点；干预前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</si>
  <si>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中等(初判；Jacob效果滞后)</t>
  </si>
  <si>
    <t xml:space="preserve">仅Max为ASD；IOA 23–33%，约99%</t>
  </si>
  <si>
    <r>
      <rPr>
        <sz val="10"/>
        <rFont val="Arial"/>
        <family val="0"/>
        <charset val="1"/>
      </rPr>
      <t xml:space="preserve">Adam</t>
    </r>
    <r>
      <rPr>
        <sz val="10"/>
        <rFont val="WenQuanYi Zen Hei"/>
        <family val="2"/>
      </rPr>
      <t xml:space="preserve">进入干预</t>
    </r>
    <r>
      <rPr>
        <sz val="10"/>
        <rFont val="Arial"/>
        <family val="0"/>
        <charset val="1"/>
      </rPr>
      <t xml:space="preserve">(</t>
    </r>
    <r>
      <rPr>
        <sz val="10"/>
        <rFont val="WenQuanYi Zen Hei"/>
        <family val="2"/>
      </rPr>
      <t xml:space="preserve">约第</t>
    </r>
    <r>
      <rPr>
        <sz val="10"/>
        <rFont val="Arial"/>
        <family val="0"/>
        <charset val="1"/>
      </rPr>
      <t xml:space="preserve">15</t>
    </r>
    <r>
      <rPr>
        <sz val="10"/>
        <rFont val="WenQuanYi Zen Hei"/>
        <family val="2"/>
      </rPr>
      <t xml:space="preserve">天</t>
    </r>
    <r>
      <rPr>
        <sz val="10"/>
        <rFont val="Arial"/>
        <family val="0"/>
        <charset val="1"/>
      </rPr>
      <t xml:space="preserve">)</t>
    </r>
    <r>
      <rPr>
        <sz val="10"/>
        <rFont val="WenQuanYi Zen Hei"/>
        <family val="2"/>
      </rPr>
      <t xml:space="preserve">及达标时，</t>
    </r>
    <r>
      <rPr>
        <sz val="10"/>
        <rFont val="Arial"/>
        <family val="0"/>
        <charset val="1"/>
      </rPr>
      <t xml:space="preserve">Noah</t>
    </r>
    <r>
      <rPr>
        <sz val="10"/>
        <rFont val="WenQuanYi Zen Hei"/>
        <family val="2"/>
      </rPr>
      <t xml:space="preserve">无探测点</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天后直到第</t>
    </r>
    <r>
      <rPr>
        <sz val="10"/>
        <rFont val="Arial"/>
        <family val="0"/>
        <charset val="1"/>
      </rPr>
      <t xml:space="preserve">32</t>
    </r>
    <r>
      <rPr>
        <sz val="10"/>
        <rFont val="WenQuanYi Zen Hei"/>
        <family val="2"/>
      </rPr>
      <t xml:space="preserve">天</t>
    </r>
    <r>
      <rPr>
        <sz val="10"/>
        <rFont val="Arial"/>
        <family val="0"/>
        <charset val="1"/>
      </rPr>
      <t xml:space="preserve">)</t>
    </r>
  </si>
  <si>
    <t xml:space="preserve">同左(5.0保留同一条探测要求)</t>
  </si>
  <si>
    <r>
      <rPr>
        <sz val="10"/>
        <rFont val="Arial"/>
        <family val="0"/>
        <charset val="1"/>
      </rPr>
      <t xml:space="preserve">Adam</t>
    </r>
    <r>
      <rPr>
        <sz val="10"/>
        <rFont val="WenQuanYi Zen Hei"/>
        <family val="2"/>
      </rPr>
      <t xml:space="preserve">第一干预期基本无效果；</t>
    </r>
    <r>
      <rPr>
        <sz val="10"/>
        <rFont val="Arial"/>
        <family val="0"/>
        <charset val="1"/>
      </rPr>
      <t xml:space="preserve">IOA≥20%</t>
    </r>
    <r>
      <rPr>
        <sz val="10"/>
        <rFont val="WenQuanYi Zen Hei"/>
        <family val="2"/>
      </rPr>
      <t xml:space="preserve">，</t>
    </r>
    <r>
      <rPr>
        <sz val="10"/>
        <rFont val="Arial"/>
        <family val="0"/>
        <charset val="1"/>
      </rPr>
      <t xml:space="preserve">95.7%</t>
    </r>
  </si>
  <si>
    <t xml:space="preserve">多基线(4人)+每人A-B-A-B撤回</t>
  </si>
  <si>
    <t xml:space="preserve">无保留(多基线部分)</t>
  </si>
  <si>
    <t xml:space="preserve">撤回部分第二基线仅3–4点→该部分仅有保留</t>
  </si>
  <si>
    <t xml:space="preserve">无保留(初判，多基线部分)</t>
  </si>
  <si>
    <t xml:space="preserve">首个基线约6点、干预期≥5点；撤回部分第二基线3–4点</t>
  </si>
  <si>
    <t xml:space="preserve">强(初判；Julia效果小)</t>
  </si>
  <si>
    <r>
      <rPr>
        <sz val="10"/>
        <rFont val="Arial"/>
        <family val="0"/>
        <charset val="1"/>
      </rPr>
      <t xml:space="preserve">IOA 73%</t>
    </r>
    <r>
      <rPr>
        <sz val="10"/>
        <rFont val="WenQuanYi Zen Hei"/>
        <family val="2"/>
      </rPr>
      <t xml:space="preserve">会话，发起</t>
    </r>
    <r>
      <rPr>
        <sz val="10"/>
        <rFont val="Arial"/>
        <family val="0"/>
        <charset val="1"/>
      </rPr>
      <t xml:space="preserve">96.9%</t>
    </r>
    <r>
      <rPr>
        <sz val="10"/>
        <rFont val="WenQuanYi Zen Hei"/>
        <family val="2"/>
      </rPr>
      <t xml:space="preserve">、回应</t>
    </r>
    <r>
      <rPr>
        <sz val="10"/>
        <rFont val="Arial"/>
        <family val="0"/>
        <charset val="1"/>
      </rPr>
      <t xml:space="preserve">98.5%</t>
    </r>
  </si>
  <si>
    <t xml:space="preserve">多探测跨3人×2项技能(6层)</t>
  </si>
  <si>
    <r>
      <rPr>
        <sz val="10"/>
        <rFont val="Arial"/>
        <family val="0"/>
        <charset val="1"/>
      </rPr>
      <t xml:space="preserve">Kingston</t>
    </r>
    <r>
      <rPr>
        <sz val="10"/>
        <rFont val="WenQuanYi Zen Hei"/>
        <family val="2"/>
      </rPr>
      <t xml:space="preserve">技能</t>
    </r>
    <r>
      <rPr>
        <sz val="10"/>
        <rFont val="Arial"/>
        <family val="0"/>
        <charset val="1"/>
      </rPr>
      <t xml:space="preserve">1</t>
    </r>
    <r>
      <rPr>
        <sz val="10"/>
        <rFont val="WenQuanYi Zen Hei"/>
        <family val="2"/>
      </rPr>
      <t xml:space="preserve">基线仅</t>
    </r>
    <r>
      <rPr>
        <sz val="10"/>
        <rFont val="Arial"/>
        <family val="0"/>
        <charset val="1"/>
      </rPr>
      <t xml:space="preserve">4</t>
    </r>
    <r>
      <rPr>
        <sz val="10"/>
        <rFont val="WenQuanYi Zen Hei"/>
        <family val="2"/>
      </rPr>
      <t xml:space="preserve">点；</t>
    </r>
    <r>
      <rPr>
        <sz val="10"/>
        <rFont val="Arial"/>
        <family val="0"/>
        <charset val="1"/>
      </rPr>
      <t xml:space="preserve">Mateo</t>
    </r>
    <r>
      <rPr>
        <sz val="10"/>
        <rFont val="WenQuanYi Zen Hei"/>
        <family val="2"/>
      </rPr>
      <t xml:space="preserve">技能</t>
    </r>
    <r>
      <rPr>
        <sz val="10"/>
        <rFont val="Arial"/>
        <family val="0"/>
        <charset val="1"/>
      </rPr>
      <t xml:space="preserve">2</t>
    </r>
    <r>
      <rPr>
        <sz val="10"/>
        <rFont val="WenQuanYi Zen Hei"/>
        <family val="2"/>
      </rPr>
      <t xml:space="preserve">干预期</t>
    </r>
    <r>
      <rPr>
        <sz val="10"/>
        <rFont val="Arial"/>
        <family val="0"/>
        <charset val="1"/>
      </rPr>
      <t xml:space="preserve">4</t>
    </r>
    <r>
      <rPr>
        <sz val="10"/>
        <rFont val="WenQuanYi Zen Hei"/>
        <family val="2"/>
      </rPr>
      <t xml:space="preserve">点</t>
    </r>
  </si>
  <si>
    <t xml:space="preserve">仅Mallory、Mateo为ASD；IOA基线37%、干预53%，100%</t>
  </si>
  <si>
    <r>
      <rPr>
        <b val="true"/>
        <sz val="10"/>
        <rFont val="Arial"/>
        <family val="0"/>
        <charset val="1"/>
      </rPr>
      <t xml:space="preserve">037-A </t>
    </r>
    <r>
      <rPr>
        <b val="true"/>
        <sz val="10"/>
        <rFont val="WenQuanYi Zen Hei"/>
        <family val="2"/>
      </rPr>
      <t xml:space="preserve">运用同伴介入的乐高游戏干预改善融合情境中中国孤独症儿童的社会互动</t>
    </r>
  </si>
  <si>
    <t xml:space="preserve">每人A-B-A-B撤回(主)+非同时多探测(辅)</t>
  </si>
  <si>
    <t xml:space="preserve">无保留(Youyou的ABAB)</t>
  </si>
  <si>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第二基线仅</t>
    </r>
    <r>
      <rPr>
        <sz val="10"/>
        <rFont val="Arial"/>
        <family val="0"/>
        <charset val="1"/>
      </rPr>
      <t xml:space="preserve">4</t>
    </r>
    <r>
      <rPr>
        <sz val="10"/>
        <rFont val="WenQuanYi Zen Hei"/>
        <family val="2"/>
      </rPr>
      <t xml:space="preserve">点→有保留</t>
    </r>
  </si>
  <si>
    <t xml:space="preserve">各人首个基线均≤5点(&lt;6)</t>
  </si>
  <si>
    <r>
      <rPr>
        <sz val="10"/>
        <rFont val="Arial"/>
        <family val="0"/>
        <charset val="1"/>
      </rPr>
      <t xml:space="preserve">5.0</t>
    </r>
    <r>
      <rPr>
        <sz val="10"/>
        <rFont val="WenQuanYi Zen Hei"/>
        <family val="2"/>
      </rPr>
      <t xml:space="preserve">首个基线需≥</t>
    </r>
    <r>
      <rPr>
        <sz val="10"/>
        <rFont val="Arial"/>
        <family val="0"/>
        <charset val="1"/>
      </rPr>
      <t xml:space="preserve">6</t>
    </r>
    <r>
      <rPr>
        <sz val="10"/>
        <rFont val="WenQuanYi Zen Hei"/>
        <family val="2"/>
      </rPr>
      <t xml:space="preserve">点</t>
    </r>
  </si>
  <si>
    <t xml:space="preserve">作者自述多探测为非同时设计(5.0不认可)，故以ABAB评；IOA基线33%/干预40%，88–91%</t>
  </si>
  <si>
    <r>
      <rPr>
        <sz val="10"/>
        <rFont val="Arial"/>
        <family val="0"/>
        <charset val="1"/>
      </rPr>
      <t xml:space="preserve">Rita</t>
    </r>
    <r>
      <rPr>
        <sz val="10"/>
        <rFont val="WenQuanYi Zen Hei"/>
        <family val="2"/>
      </rPr>
      <t xml:space="preserve">进入干预</t>
    </r>
    <r>
      <rPr>
        <sz val="10"/>
        <rFont val="Arial"/>
        <family val="0"/>
        <charset val="1"/>
      </rPr>
      <t xml:space="preserve">(</t>
    </r>
    <r>
      <rPr>
        <sz val="10"/>
        <rFont val="WenQuanYi Zen Hei"/>
        <family val="2"/>
      </rPr>
      <t xml:space="preserve">第</t>
    </r>
    <r>
      <rPr>
        <sz val="10"/>
        <rFont val="Arial"/>
        <family val="0"/>
        <charset val="1"/>
      </rPr>
      <t xml:space="preserve">7</t>
    </r>
    <r>
      <rPr>
        <sz val="10"/>
        <rFont val="WenQuanYi Zen Hei"/>
        <family val="2"/>
      </rPr>
      <t xml:space="preserve">次</t>
    </r>
    <r>
      <rPr>
        <sz val="10"/>
        <rFont val="Arial"/>
        <family val="0"/>
        <charset val="1"/>
      </rPr>
      <t xml:space="preserve">)</t>
    </r>
    <r>
      <rPr>
        <sz val="10"/>
        <rFont val="WenQuanYi Zen Hei"/>
        <family val="2"/>
      </rPr>
      <t xml:space="preserve">时，</t>
    </r>
    <r>
      <rPr>
        <sz val="10"/>
        <rFont val="Arial"/>
        <family val="0"/>
        <charset val="1"/>
      </rPr>
      <t xml:space="preserve">Saul</t>
    </r>
    <r>
      <rPr>
        <sz val="10"/>
        <rFont val="WenQuanYi Zen Hei"/>
        <family val="2"/>
      </rPr>
      <t xml:space="preserve">、</t>
    </r>
    <r>
      <rPr>
        <sz val="10"/>
        <rFont val="Arial"/>
        <family val="0"/>
        <charset val="1"/>
      </rPr>
      <t xml:space="preserve">Lucas</t>
    </r>
    <r>
      <rPr>
        <sz val="10"/>
        <rFont val="WenQuanYi Zen Hei"/>
        <family val="2"/>
      </rPr>
      <t xml:space="preserve">最近探测在第</t>
    </r>
    <r>
      <rPr>
        <sz val="10"/>
        <rFont val="Arial"/>
        <family val="0"/>
        <charset val="1"/>
      </rPr>
      <t xml:space="preserve">4</t>
    </r>
    <r>
      <rPr>
        <sz val="10"/>
        <rFont val="WenQuanYi Zen Hei"/>
        <family val="2"/>
      </rPr>
      <t xml:space="preserve">、</t>
    </r>
    <r>
      <rPr>
        <sz val="10"/>
        <rFont val="Arial"/>
        <family val="0"/>
        <charset val="1"/>
      </rPr>
      <t xml:space="preserve">10</t>
    </r>
    <r>
      <rPr>
        <sz val="10"/>
        <rFont val="WenQuanYi Zen Hei"/>
        <family val="2"/>
      </rPr>
      <t xml:space="preserve">次，无同期探测点且作者未设阶段转换标准；另首</t>
    </r>
    <r>
      <rPr>
        <sz val="10"/>
        <rFont val="Arial"/>
        <family val="0"/>
        <charset val="1"/>
      </rPr>
      <t xml:space="preserve">3</t>
    </r>
    <r>
      <rPr>
        <sz val="10"/>
        <rFont val="WenQuanYi Zen Hei"/>
        <family val="2"/>
      </rPr>
      <t xml:space="preserve">次会话仅</t>
    </r>
    <r>
      <rPr>
        <sz val="10"/>
        <rFont val="Arial"/>
        <family val="0"/>
        <charset val="1"/>
      </rPr>
      <t xml:space="preserve">2</t>
    </r>
    <r>
      <rPr>
        <sz val="10"/>
        <rFont val="WenQuanYi Zen Hei"/>
        <family val="2"/>
      </rPr>
      <t xml:space="preserve">个探测点</t>
    </r>
  </si>
  <si>
    <r>
      <rPr>
        <sz val="10"/>
        <rFont val="Arial"/>
        <family val="0"/>
        <charset val="1"/>
      </rPr>
      <t xml:space="preserve">IOA 40%</t>
    </r>
    <r>
      <rPr>
        <sz val="10"/>
        <rFont val="WenQuanYi Zen Hei"/>
        <family val="2"/>
      </rPr>
      <t xml:space="preserve">，</t>
    </r>
    <r>
      <rPr>
        <sz val="10"/>
        <rFont val="Arial"/>
        <family val="0"/>
        <charset val="1"/>
      </rPr>
      <t xml:space="preserve">86–100%</t>
    </r>
  </si>
  <si>
    <t xml:space="preserve">多探测(两组各3对，共6对)</t>
  </si>
  <si>
    <t xml:space="preserve">干预前3次会话内探测点不连续(仅2个)</t>
  </si>
  <si>
    <t xml:space="preserve">同左</t>
  </si>
  <si>
    <t xml:space="preserve">强(初判，儿童目标沟通)</t>
  </si>
  <si>
    <r>
      <rPr>
        <sz val="10"/>
        <rFont val="Arial"/>
        <family val="0"/>
        <charset val="1"/>
      </rPr>
      <t xml:space="preserve">IOA</t>
    </r>
    <r>
      <rPr>
        <sz val="10"/>
        <rFont val="WenQuanYi Zen Hei"/>
        <family val="2"/>
      </rPr>
      <t xml:space="preserve">基线</t>
    </r>
    <r>
      <rPr>
        <sz val="10"/>
        <rFont val="Arial"/>
        <family val="0"/>
        <charset val="1"/>
      </rPr>
      <t xml:space="preserve">32%</t>
    </r>
    <r>
      <rPr>
        <sz val="10"/>
        <rFont val="WenQuanYi Zen Hei"/>
        <family val="2"/>
      </rPr>
      <t xml:space="preserve">、干预</t>
    </r>
    <r>
      <rPr>
        <sz val="10"/>
        <rFont val="Arial"/>
        <family val="0"/>
        <charset val="1"/>
      </rPr>
      <t xml:space="preserve">40%</t>
    </r>
    <r>
      <rPr>
        <sz val="10"/>
        <rFont val="WenQuanYi Zen Hei"/>
        <family val="2"/>
      </rPr>
      <t xml:space="preserve">，</t>
    </r>
    <r>
      <rPr>
        <sz val="10"/>
        <rFont val="Arial"/>
        <family val="0"/>
        <charset val="1"/>
      </rPr>
      <t xml:space="preserve">93–100%</t>
    </r>
  </si>
  <si>
    <r>
      <rPr>
        <b val="true"/>
        <sz val="10"/>
        <rFont val="Arial"/>
        <family val="0"/>
        <charset val="1"/>
      </rPr>
      <t xml:space="preserve">040-A </t>
    </r>
    <r>
      <rPr>
        <b val="true"/>
        <sz val="10"/>
        <rFont val="WenQuanYi Zen Hei"/>
        <family val="2"/>
      </rPr>
      <t xml:space="preserve">班级教师实施“社交站”干预以改善孤独症学生的言语发起与回应</t>
    </r>
  </si>
  <si>
    <t xml:space="preserve">多基线(5人，按3个班错开，3个引入时间点)</t>
  </si>
  <si>
    <t xml:space="preserve">第一个班(CR、AK)基线仅5点(&lt;6)，去掉多余层后仍凑不齐3个不同引入时间点</t>
  </si>
  <si>
    <t xml:space="preserve">中等(初判；CR主动发起反而下降，AK效果滞后)</t>
  </si>
  <si>
    <r>
      <rPr>
        <sz val="10"/>
        <rFont val="Arial"/>
        <family val="0"/>
        <charset val="1"/>
      </rPr>
      <t xml:space="preserve">IOA≥20%</t>
    </r>
    <r>
      <rPr>
        <sz val="10"/>
        <rFont val="WenQuanYi Zen Hei"/>
        <family val="2"/>
      </rPr>
      <t xml:space="preserve">，</t>
    </r>
    <r>
      <rPr>
        <sz val="10"/>
        <rFont val="Arial"/>
        <family val="0"/>
        <charset val="1"/>
      </rPr>
      <t xml:space="preserve">Krippendorff α .98–.99</t>
    </r>
  </si>
  <si>
    <t xml:space="preserve">非同时多基线(3人)</t>
  </si>
  <si>
    <t xml:space="preserve">作者自述为非同时多基线，3.0认为缺乏同时性则等同于若干AB设计</t>
  </si>
  <si>
    <t xml:space="preserve">违反同时性要求</t>
  </si>
  <si>
    <r>
      <rPr>
        <sz val="10"/>
        <rFont val="Arial"/>
        <family val="0"/>
        <charset val="1"/>
      </rPr>
      <t xml:space="preserve">IOA</t>
    </r>
    <r>
      <rPr>
        <sz val="10"/>
        <rFont val="WenQuanYi Zen Hei"/>
        <family val="2"/>
      </rPr>
      <t xml:space="preserve">平均</t>
    </r>
    <r>
      <rPr>
        <sz val="10"/>
        <rFont val="Arial"/>
        <family val="0"/>
        <charset val="1"/>
      </rPr>
      <t xml:space="preserve">85%</t>
    </r>
    <r>
      <rPr>
        <sz val="10"/>
        <rFont val="WenQuanYi Zen Hei"/>
        <family val="2"/>
      </rPr>
      <t xml:space="preserve">；</t>
    </r>
    <r>
      <rPr>
        <sz val="10"/>
        <rFont val="Arial"/>
        <family val="0"/>
        <charset val="1"/>
      </rPr>
      <t xml:space="preserve">Rain</t>
    </r>
    <r>
      <rPr>
        <sz val="10"/>
        <rFont val="WenQuanYi Zen Hei"/>
        <family val="2"/>
      </rPr>
      <t xml:space="preserve">层无效果</t>
    </r>
  </si>
  <si>
    <t xml:space="preserve">多基线跨3种情境×2人(各自一组)</t>
  </si>
  <si>
    <t xml:space="preserve">有保留(John)</t>
  </si>
  <si>
    <r>
      <rPr>
        <sz val="10"/>
        <rFont val="Arial"/>
        <family val="0"/>
        <charset val="1"/>
      </rPr>
      <t xml:space="preserve">John</t>
    </r>
    <r>
      <rPr>
        <sz val="10"/>
        <rFont val="WenQuanYi Zen Hei"/>
        <family val="2"/>
      </rPr>
      <t xml:space="preserve">数学课干预期仅</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英语支持课干预期仅</t>
    </r>
    <r>
      <rPr>
        <sz val="10"/>
        <rFont val="Arial"/>
        <family val="0"/>
        <charset val="1"/>
      </rPr>
      <t xml:space="preserve">2</t>
    </r>
    <r>
      <rPr>
        <sz val="10"/>
        <rFont val="WenQuanYi Zen Hei"/>
        <family val="2"/>
      </rPr>
      <t xml:space="preserve">点→</t>
    </r>
    <r>
      <rPr>
        <sz val="10"/>
        <rFont val="Arial"/>
        <family val="0"/>
        <charset val="1"/>
      </rPr>
      <t xml:space="preserve">Sean</t>
    </r>
    <r>
      <rPr>
        <sz val="10"/>
        <rFont val="WenQuanYi Zen Hei"/>
        <family val="2"/>
      </rPr>
      <t xml:space="preserve">的设计不达标</t>
    </r>
  </si>
  <si>
    <r>
      <rPr>
        <sz val="10"/>
        <rFont val="Arial"/>
        <family val="0"/>
        <charset val="1"/>
      </rPr>
      <t xml:space="preserve">John</t>
    </r>
    <r>
      <rPr>
        <sz val="10"/>
        <rFont val="WenQuanYi Zen Hei"/>
        <family val="2"/>
      </rPr>
      <t xml:space="preserve">数学课干预</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同左不达标</t>
    </r>
  </si>
  <si>
    <t xml:space="preserve">中等(初判；John阅读课基线已较高，重叠多)</t>
  </si>
  <si>
    <r>
      <rPr>
        <sz val="10"/>
        <rFont val="Arial"/>
        <family val="0"/>
        <charset val="1"/>
      </rPr>
      <t xml:space="preserve">IOA 22–33%</t>
    </r>
    <r>
      <rPr>
        <sz val="10"/>
        <rFont val="WenQuanYi Zen Hei"/>
        <family val="2"/>
      </rPr>
      <t xml:space="preserve">，</t>
    </r>
    <r>
      <rPr>
        <sz val="10"/>
        <rFont val="Arial"/>
        <family val="0"/>
        <charset val="1"/>
      </rPr>
      <t xml:space="preserve">86–99%</t>
    </r>
  </si>
  <si>
    <r>
      <rPr>
        <b val="true"/>
        <sz val="10"/>
        <rFont val="Arial"/>
        <family val="0"/>
        <charset val="1"/>
      </rPr>
      <t xml:space="preserve">043-A </t>
    </r>
    <r>
      <rPr>
        <b val="true"/>
        <sz val="10"/>
        <rFont val="WenQuanYi Zen Hei"/>
        <family val="2"/>
      </rPr>
      <t xml:space="preserve">专业发展改善中国一所融合幼儿园教师的嵌入式教学及儿童的学习成效</t>
    </r>
  </si>
  <si>
    <t xml:space="preserve">多基线(3对教师–儿童)</t>
  </si>
  <si>
    <r>
      <rPr>
        <sz val="10"/>
        <rFont val="Arial"/>
        <family val="0"/>
        <charset val="1"/>
      </rPr>
      <t xml:space="preserve">Andy</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</si>
  <si>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中等(初判，儿童正确反应重叠较多；教师执行忠诚度为强)</t>
  </si>
  <si>
    <r>
      <rPr>
        <sz val="10"/>
        <rFont val="Arial"/>
        <family val="0"/>
        <charset val="1"/>
      </rPr>
      <t xml:space="preserve">IOA≥33%</t>
    </r>
    <r>
      <rPr>
        <sz val="10"/>
        <rFont val="WenQuanYi Zen Hei"/>
        <family val="2"/>
      </rPr>
      <t xml:space="preserve">，各阶段约</t>
    </r>
    <r>
      <rPr>
        <sz val="10"/>
        <rFont val="Arial"/>
        <family val="0"/>
        <charset val="1"/>
      </rPr>
      <t xml:space="preserve">84–100%</t>
    </r>
  </si>
  <si>
    <r>
      <rPr>
        <sz val="10"/>
        <rFont val="Arial"/>
        <family val="0"/>
        <charset val="1"/>
      </rPr>
      <t xml:space="preserve">—(IOA</t>
    </r>
    <r>
      <rPr>
        <sz val="10"/>
        <rFont val="WenQuanYi Zen Hei"/>
        <family val="2"/>
      </rPr>
      <t xml:space="preserve">随机抽</t>
    </r>
    <r>
      <rPr>
        <sz val="10"/>
        <rFont val="Arial"/>
        <family val="0"/>
        <charset val="1"/>
      </rPr>
      <t xml:space="preserve">20%</t>
    </r>
    <r>
      <rPr>
        <sz val="10"/>
        <rFont val="WenQuanYi Zen Hei"/>
        <family val="2"/>
      </rPr>
      <t xml:space="preserve">会话，未说明各阶段均有</t>
    </r>
    <r>
      <rPr>
        <sz val="10"/>
        <rFont val="Arial"/>
        <family val="0"/>
        <charset val="1"/>
      </rPr>
      <t xml:space="preserve">)</t>
    </r>
  </si>
  <si>
    <t xml:space="preserve">无保留(初判，互动时长)</t>
  </si>
  <si>
    <t xml:space="preserve">基线≥9点；主动发起这一结局中Sam基线有上升趋势(NAP≈.94)，该结局仅有保留</t>
  </si>
  <si>
    <t xml:space="preserve">强(初判，社交互动时长)</t>
  </si>
  <si>
    <r>
      <rPr>
        <sz val="10"/>
        <rFont val="Arial"/>
        <family val="0"/>
        <charset val="1"/>
      </rPr>
      <t xml:space="preserve">IOA 20%</t>
    </r>
    <r>
      <rPr>
        <sz val="10"/>
        <rFont val="WenQuanYi Zen Hei"/>
        <family val="2"/>
      </rPr>
      <t xml:space="preserve">会话，</t>
    </r>
    <r>
      <rPr>
        <sz val="10"/>
        <rFont val="Arial"/>
        <family val="0"/>
        <charset val="1"/>
      </rPr>
      <t xml:space="preserve">95–98%</t>
    </r>
  </si>
  <si>
    <t xml:space="preserve">多探测(3人×2个游戏)</t>
  </si>
  <si>
    <t xml:space="preserve">首3次会话内İkra、Sinan无探测点(首个探测在第11、13次)</t>
  </si>
  <si>
    <t xml:space="preserve">首3次会话无垂直重叠；Efe进入干预时其他层尚无基线数据(违反同时性)</t>
  </si>
  <si>
    <r>
      <rPr>
        <sz val="10"/>
        <rFont val="Arial"/>
        <family val="0"/>
        <charset val="1"/>
      </rPr>
      <t xml:space="preserve">IOA 30%</t>
    </r>
    <r>
      <rPr>
        <sz val="10"/>
        <rFont val="WenQuanYi Zen Hei"/>
        <family val="2"/>
      </rPr>
      <t xml:space="preserve">各阶段，</t>
    </r>
    <r>
      <rPr>
        <sz val="10"/>
        <rFont val="Arial"/>
        <family val="0"/>
        <charset val="1"/>
      </rPr>
      <t xml:space="preserve">100%</t>
    </r>
  </si>
  <si>
    <r>
      <rPr>
        <b val="true"/>
        <sz val="10"/>
        <rFont val="Arial"/>
        <family val="0"/>
        <charset val="1"/>
      </rPr>
      <t xml:space="preserve">046-A </t>
    </r>
    <r>
      <rPr>
        <b val="true"/>
        <sz val="10"/>
        <rFont val="WenQuanYi Zen Hei"/>
        <family val="2"/>
      </rPr>
      <t xml:space="preserve">在课间休息时促进孤独症谱系障碍及相关社交困难儿童的社会学习</t>
    </r>
  </si>
  <si>
    <t xml:space="preserve">同时多基线(7人，3个引入时间点：第4、12、15次)</t>
  </si>
  <si>
    <t xml:space="preserve">第1个引入时间点的被试1、2基线仅3点</t>
  </si>
  <si>
    <t xml:space="preserve">被试2基线3点且全为0(零变异，可计入)；被试3–7基线≥6点；去掉多余层后可满足无保留</t>
  </si>
  <si>
    <r>
      <rPr>
        <sz val="10"/>
        <rFont val="Arial"/>
        <family val="0"/>
        <charset val="1"/>
      </rPr>
      <t xml:space="preserve">5.0</t>
    </r>
    <r>
      <rPr>
        <sz val="10"/>
        <rFont val="WenQuanYi Zen Hei"/>
        <family val="2"/>
      </rPr>
      <t xml:space="preserve">新增零变异例外</t>
    </r>
  </si>
  <si>
    <t xml:space="preserve">中等(初判；被试3、5、6基线波动大、重叠多)</t>
  </si>
  <si>
    <t xml:space="preserve">仅部分被试为ASD；IOA 32%(基线30%/干预33%)，时长91.8%、发起88.3%</t>
  </si>
  <si>
    <t xml:space="preserve">户秀美2025 低年级随班就读孤独症儿童发散性思维的干预研究（中文）</t>
  </si>
  <si>
    <t xml:space="preserve">多探测跨3个主题(3人各一组)</t>
  </si>
  <si>
    <t xml:space="preserve">首3次会话内各层非连续3个探测点；食物主题第一干预期仅4点</t>
  </si>
  <si>
    <t xml:space="preserve">首3次会话非连续3个探测点</t>
  </si>
  <si>
    <t xml:space="preserve">中等(初判；先备技能/框架教学阶段变化小，效果主要出现在辅助阶段)</t>
  </si>
  <si>
    <r>
      <rPr>
        <sz val="10"/>
        <rFont val="Arial"/>
        <family val="0"/>
        <charset val="1"/>
      </rPr>
      <t xml:space="preserve">IOA</t>
    </r>
    <r>
      <rPr>
        <sz val="10"/>
        <rFont val="WenQuanYi Zen Hei"/>
        <family val="2"/>
      </rPr>
      <t xml:space="preserve">各类别</t>
    </r>
    <r>
      <rPr>
        <sz val="10"/>
        <rFont val="Arial"/>
        <family val="0"/>
        <charset val="1"/>
      </rPr>
      <t xml:space="preserve">35%</t>
    </r>
    <r>
      <rPr>
        <sz val="10"/>
        <rFont val="WenQuanYi Zen Hei"/>
        <family val="2"/>
      </rPr>
      <t xml:space="preserve">视频，</t>
    </r>
    <r>
      <rPr>
        <sz val="10"/>
        <rFont val="Arial"/>
        <family val="0"/>
        <charset val="1"/>
      </rPr>
      <t xml:space="preserve">97.5–99.3%</t>
    </r>
    <r>
      <rPr>
        <sz val="10"/>
        <rFont val="WenQuanYi Zen Hei"/>
        <family val="2"/>
      </rPr>
      <t xml:space="preserve">；作者自称按</t>
    </r>
    <r>
      <rPr>
        <sz val="10"/>
        <rFont val="Arial"/>
        <family val="0"/>
        <charset val="1"/>
      </rPr>
      <t xml:space="preserve">5.0</t>
    </r>
    <r>
      <rPr>
        <sz val="10"/>
        <rFont val="WenQuanYi Zen Hei"/>
        <family val="2"/>
      </rPr>
      <t xml:space="preserve">设计</t>
    </r>
  </si>
  <si>
    <t xml:space="preserve">张晓敏2026 融合教育环境中人际同步音乐活动促进孤独症幼儿社会交往的干预研究（中文）</t>
  </si>
  <si>
    <t xml:space="preserve">跨被试多探测(3人，实际每次均测)</t>
  </si>
  <si>
    <t xml:space="preserve">小宇基线仅3点</t>
  </si>
  <si>
    <t xml:space="preserve">小宇基线3点(&lt;6且非零变异)</t>
  </si>
  <si>
    <r>
      <rPr>
        <sz val="10"/>
        <rFont val="Arial"/>
        <family val="0"/>
        <charset val="1"/>
      </rPr>
      <t xml:space="preserve">IOA</t>
    </r>
    <r>
      <rPr>
        <sz val="10"/>
        <rFont val="WenQuanYi Zen Hei"/>
        <family val="2"/>
      </rPr>
      <t xml:space="preserve">基线</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维持各</t>
    </r>
    <r>
      <rPr>
        <sz val="10"/>
        <rFont val="Arial"/>
        <family val="0"/>
        <charset val="1"/>
      </rPr>
      <t xml:space="preserve">30%</t>
    </r>
    <r>
      <rPr>
        <sz val="10"/>
        <rFont val="WenQuanYi Zen Hei"/>
        <family val="2"/>
      </rPr>
      <t xml:space="preserve">，</t>
    </r>
    <r>
      <rPr>
        <sz val="10"/>
        <rFont val="Arial"/>
        <family val="0"/>
        <charset val="1"/>
      </rPr>
      <t xml:space="preserve">95–98%</t>
    </r>
  </si>
  <si>
    <t xml:space="preserve">类别（宽松/乐观流失边界）</t>
  </si>
  <si>
    <t xml:space="preserve">类别（保守/谨慎流失边界）</t>
  </si>
  <si>
    <t xml:space="preserve">整群RCT(12所学校；RR培训 vs RR培训+实施支持)</t>
  </si>
  <si>
    <t xml:space="preserve">两组都接受RR，对比的是"实施支持"本身，不是干预vs无干预；儿童在学校随机化前已招募，流失极少(仅1人搬走)</t>
  </si>
  <si>
    <t xml:space="preserve">个体RCT(70人；社交技能组 vs 参与组)</t>
  </si>
  <si>
    <t xml:space="preserve">宽松边界：无保留；保守边界：不达标</t>
  </si>
  <si>
    <t xml:space="preserve">总流失11.4%、差异流失9.5%(参与组6/38，技能组2/32)；保守边界下属高流失，且未以效应量形式报告分析样本基线等同</t>
  </si>
  <si>
    <t xml:space="preserve">乐观边界：无保留；谨慎边界(默认)：不达标</t>
  </si>
  <si>
    <t xml:space="preserve">两版说明：一致(都取决于流失边界)；两种干预对比，无未干预对照；部分被试ADOS未达谱系标准</t>
  </si>
  <si>
    <t xml:space="preserve">准实验(实验组18 vs 对照组17)</t>
  </si>
  <si>
    <t xml:space="preserve">未报告对照组前测，无法确认基线等同</t>
  </si>
  <si>
    <t xml:space="preserve">整群RCT(32所学校，三臂：SDLMI+PS / PS / SDLMI)</t>
  </si>
  <si>
    <r>
      <rPr>
        <sz val="10"/>
        <rFont val="Arial"/>
        <family val="0"/>
        <charset val="1"/>
      </rPr>
      <t xml:space="preserve">68</t>
    </r>
    <r>
      <rPr>
        <sz val="10"/>
        <rFont val="WenQuanYi Zen Hei"/>
        <family val="2"/>
      </rPr>
      <t xml:space="preserve">人中仅</t>
    </r>
    <r>
      <rPr>
        <sz val="10"/>
        <rFont val="Arial"/>
        <family val="0"/>
        <charset val="1"/>
      </rPr>
      <t xml:space="preserve">59</t>
    </r>
    <r>
      <rPr>
        <sz val="10"/>
        <rFont val="WenQuanYi Zen Hei"/>
        <family val="2"/>
      </rPr>
      <t xml:space="preserve">人有观察数据，各组流失未报告→按高流失处理；结局无前测，无法证明基线等同</t>
    </r>
  </si>
  <si>
    <t xml:space="preserve">同左；5.0还明确要求：学校随机化后才确定的学生须证明基线等同</t>
  </si>
  <si>
    <t xml:space="preserve">无未干预对照组</t>
  </si>
  <si>
    <t xml:space="preserve">整群RCT中的ASD亚组(25所学校；干预34 vs 对照15)</t>
  </si>
  <si>
    <t xml:space="preserve">流失无法计算；前测ECAQ干预组65.8 vs 对照组76.5，差约0.58 SD(&gt;0.25)</t>
  </si>
  <si>
    <t xml:space="preserve">整群RCT(98所学校；乐高治疗+常规支持 vs 常规支持)</t>
  </si>
  <si>
    <t xml:space="preserve">宽松边界：无保留；保守边界：有保留(初判)</t>
  </si>
  <si>
    <t xml:space="preserve">学校层流失低(总11.2%、差异2.5%)；儿童层20周流失12%、差异8.4%，保守边界下属高流失，需分析样本基线等同(全样本基线差0.06 SD，分析已调整前测)</t>
  </si>
  <si>
    <t xml:space="preserve">乐观边界：无保留；谨慎边界：有保留(初判)</t>
  </si>
  <si>
    <t xml:space="preserve">两版说明：一致(都取决于流失边界)；分析样本的基线数据未单独报告，按全样本差异判断</t>
  </si>
  <si>
    <t xml:space="preserve">随机分班(31个班；柔道 vs 空手道)</t>
  </si>
  <si>
    <t xml:space="preserve">无流失；随机化描述简略；教练人数未报告(若每个项目只有1名教练则构成混淆→不达标)</t>
  </si>
  <si>
    <t xml:space="preserve">两种干预对比，无未干预对照；原文只报告组内前后测变化</t>
  </si>
  <si>
    <r>
      <rPr>
        <sz val="10"/>
        <rFont val="Arial"/>
        <family val="0"/>
        <charset val="1"/>
      </rPr>
      <t xml:space="preserve">RCT(80</t>
    </r>
    <r>
      <rPr>
        <sz val="10"/>
        <rFont val="WenQuanYi Zen Hei"/>
        <family val="2"/>
      </rPr>
      <t xml:space="preserve">人；</t>
    </r>
    <r>
      <rPr>
        <sz val="10"/>
        <rFont val="Arial"/>
        <family val="0"/>
        <charset val="1"/>
      </rPr>
      <t xml:space="preserve">RR vs </t>
    </r>
    <r>
      <rPr>
        <sz val="10"/>
        <rFont val="WenQuanYi Zen Hei"/>
        <family val="2"/>
      </rPr>
      <t xml:space="preserve">候补对照</t>
    </r>
    <r>
      <rPr>
        <sz val="10"/>
        <rFont val="Arial"/>
        <family val="0"/>
        <charset val="1"/>
      </rPr>
      <t xml:space="preserve">)</t>
    </r>
  </si>
  <si>
    <t xml:space="preserve">流失约2.5%</t>
  </si>
  <si>
    <t xml:space="preserve">随访只在2个地点收集(计划内)</t>
  </si>
  <si>
    <t xml:space="preserve">沙鹏2023 基于同伴介入法的气排球运动干预对随班就读孤独症儿童社交能力的影响（中文）</t>
  </si>
  <si>
    <t xml:space="preserve">个体RCT(36人，18/18，随机数表)</t>
  </si>
  <si>
    <t xml:space="preserve">无流失；前测无差异(η²≤.006)</t>
  </si>
  <si>
    <t xml:space="preserve">需核对：若实验组由同一名教练集中带一个组，可能被视为"n=1"混淆；对照组接受同频常规社交干预</t>
  </si>
  <si>
    <r>
      <rPr>
        <b val="true"/>
        <sz val="10"/>
        <color rgb="FFFFFFFF"/>
        <rFont val="Arial"/>
        <family val="0"/>
        <charset val="1"/>
      </rPr>
      <t xml:space="preserve">0343</t>
    </r>
    <r>
      <rPr>
        <b val="true"/>
        <sz val="10"/>
        <color rgb="FFFFFFFF"/>
        <rFont val="WenQuanYi Zen Hei"/>
        <family val="2"/>
      </rPr>
      <t xml:space="preserve">原判定</t>
    </r>
  </si>
  <si>
    <t xml:space="preserve">多基线跨3种情境(1人)</t>
  </si>
  <si>
    <t xml:space="preserve">合作学习层基线仅3点；午餐层干预期仅4点</t>
  </si>
  <si>
    <t xml:space="preserve">首个基线3点(&lt;6)；干预4点</t>
  </si>
  <si>
    <r>
      <rPr>
        <sz val="10"/>
        <rFont val="Arial"/>
        <family val="0"/>
        <charset val="1"/>
      </rPr>
      <t xml:space="preserve">IOA 50%</t>
    </r>
    <r>
      <rPr>
        <sz val="10"/>
        <rFont val="WenQuanYi Zen Hei"/>
        <family val="2"/>
      </rPr>
      <t xml:space="preserve">会话、覆盖各阶段，</t>
    </r>
    <r>
      <rPr>
        <sz val="10"/>
        <rFont val="Arial"/>
        <family val="0"/>
        <charset val="1"/>
      </rPr>
      <t xml:space="preserve">91%</t>
    </r>
  </si>
  <si>
    <t xml:space="preserve">达标（已纳入）</t>
  </si>
  <si>
    <t xml:space="preserve">多探测跨3种行为(2人各一组)</t>
  </si>
  <si>
    <t xml:space="preserve">有保留(Matt)</t>
  </si>
  <si>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层基线仅</t>
    </r>
    <r>
      <rPr>
        <sz val="10"/>
        <rFont val="Arial"/>
        <family val="0"/>
        <charset val="1"/>
      </rPr>
      <t xml:space="preserve">3</t>
    </r>
    <r>
      <rPr>
        <sz val="10"/>
        <rFont val="WenQuanYi Zen Hei"/>
        <family val="2"/>
      </rPr>
      <t xml:space="preserve">点；</t>
    </r>
    <r>
      <rPr>
        <sz val="10"/>
        <rFont val="Arial"/>
        <family val="0"/>
        <charset val="1"/>
      </rPr>
      <t xml:space="preserve">Ted</t>
    </r>
    <r>
      <rPr>
        <sz val="10"/>
        <rFont val="WenQuanYi Zen Hei"/>
        <family val="2"/>
      </rPr>
      <t xml:space="preserve">第</t>
    </r>
    <r>
      <rPr>
        <sz val="10"/>
        <rFont val="Arial"/>
        <family val="0"/>
        <charset val="1"/>
      </rPr>
      <t xml:space="preserve">3</t>
    </r>
    <r>
      <rPr>
        <sz val="10"/>
        <rFont val="WenQuanYi Zen Hei"/>
        <family val="2"/>
      </rPr>
      <t xml:space="preserve">种行为未引入干预，只有</t>
    </r>
    <r>
      <rPr>
        <sz val="10"/>
        <rFont val="Arial"/>
        <family val="0"/>
        <charset val="1"/>
      </rPr>
      <t xml:space="preserve">2</t>
    </r>
    <r>
      <rPr>
        <sz val="10"/>
        <rFont val="WenQuanYi Zen Hei"/>
        <family val="2"/>
      </rPr>
      <t xml:space="preserve">次效果展示→</t>
    </r>
    <r>
      <rPr>
        <sz val="10"/>
        <rFont val="Arial"/>
        <family val="0"/>
        <charset val="1"/>
      </rPr>
      <t xml:space="preserve">Ted</t>
    </r>
    <r>
      <rPr>
        <sz val="10"/>
        <rFont val="WenQuanYi Zen Hei"/>
        <family val="2"/>
      </rPr>
      <t xml:space="preserve">的设计不达标</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</si>
  <si>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Ted</t>
    </r>
    <r>
      <rPr>
        <sz val="10"/>
        <rFont val="WenQuanYi Zen Hei"/>
        <family val="2"/>
      </rPr>
      <t xml:space="preserve">同左不达标</t>
    </r>
  </si>
  <si>
    <t xml:space="preserve">强(初判，Matt)</t>
  </si>
  <si>
    <r>
      <rPr>
        <sz val="10"/>
        <rFont val="Arial"/>
        <family val="0"/>
        <charset val="1"/>
      </rPr>
      <t xml:space="preserve">IOA 32%</t>
    </r>
    <r>
      <rPr>
        <sz val="10"/>
        <rFont val="WenQuanYi Zen Hei"/>
        <family val="2"/>
      </rPr>
      <t xml:space="preserve">，</t>
    </r>
    <r>
      <rPr>
        <sz val="10"/>
        <rFont val="Arial"/>
        <family val="0"/>
        <charset val="1"/>
      </rPr>
      <t xml:space="preserve">88–100%</t>
    </r>
  </si>
  <si>
    <t xml:space="preserve">多基线跨3种课堂活动(1人；第5、7、9次会话引入)；另含交替处理功能分析</t>
  </si>
  <si>
    <t xml:space="preserve">音乐活动层基线仅4点</t>
  </si>
  <si>
    <t xml:space="preserve">首个基线4点(&lt;6)</t>
  </si>
  <si>
    <r>
      <rPr>
        <sz val="10"/>
        <rFont val="Arial"/>
        <family val="0"/>
        <charset val="1"/>
      </rPr>
      <t xml:space="preserve">IOA 30%</t>
    </r>
    <r>
      <rPr>
        <sz val="10"/>
        <rFont val="WenQuanYi Zen Hei"/>
        <family val="2"/>
      </rPr>
      <t xml:space="preserve">会话，</t>
    </r>
    <r>
      <rPr>
        <sz val="10"/>
        <rFont val="Arial"/>
        <family val="0"/>
        <charset val="1"/>
      </rPr>
      <t xml:space="preserve">91–94%</t>
    </r>
  </si>
  <si>
    <r>
      <rPr>
        <sz val="10"/>
        <rFont val="Arial"/>
        <family val="0"/>
        <charset val="1"/>
      </rPr>
      <t xml:space="preserve">A-B-A-B</t>
    </r>
    <r>
      <rPr>
        <sz val="10"/>
        <rFont val="WenQuanYi Zen Hei"/>
        <family val="2"/>
      </rPr>
      <t xml:space="preserve">撤回设计</t>
    </r>
    <r>
      <rPr>
        <sz val="10"/>
        <rFont val="Arial"/>
        <family val="0"/>
        <charset val="1"/>
      </rPr>
      <t xml:space="preserve">(4</t>
    </r>
    <r>
      <rPr>
        <sz val="10"/>
        <rFont val="WenQuanYi Zen Hei"/>
        <family val="2"/>
      </rPr>
      <t xml:space="preserve">人各一个</t>
    </r>
    <r>
      <rPr>
        <sz val="10"/>
        <rFont val="Arial"/>
        <family val="0"/>
        <charset val="1"/>
      </rPr>
      <t xml:space="preserve">)</t>
    </r>
  </si>
  <si>
    <t xml:space="preserve">各人撤回期(A2)仅3–4点</t>
  </si>
  <si>
    <t xml:space="preserve">首个基线均5点(&lt;6)；A2 3–4点</t>
  </si>
  <si>
    <r>
      <rPr>
        <sz val="10"/>
        <rFont val="Arial"/>
        <family val="0"/>
        <charset val="1"/>
      </rPr>
      <t xml:space="preserve">IOA</t>
    </r>
    <r>
      <rPr>
        <sz val="10"/>
        <rFont val="WenQuanYi Zen Hei"/>
        <family val="2"/>
      </rPr>
      <t xml:space="preserve">基线</t>
    </r>
    <r>
      <rPr>
        <sz val="10"/>
        <rFont val="Arial"/>
        <family val="0"/>
        <charset val="1"/>
      </rPr>
      <t xml:space="preserve">60%</t>
    </r>
    <r>
      <rPr>
        <sz val="10"/>
        <rFont val="WenQuanYi Zen Hei"/>
        <family val="2"/>
      </rPr>
      <t xml:space="preserve">、其余各阶段</t>
    </r>
    <r>
      <rPr>
        <sz val="10"/>
        <rFont val="Arial"/>
        <family val="0"/>
        <charset val="1"/>
      </rPr>
      <t xml:space="preserve">33%</t>
    </r>
    <r>
      <rPr>
        <sz val="10"/>
        <rFont val="WenQuanYi Zen Hei"/>
        <family val="2"/>
      </rPr>
      <t xml:space="preserve">，</t>
    </r>
    <r>
      <rPr>
        <sz val="10"/>
        <rFont val="Arial"/>
        <family val="0"/>
        <charset val="1"/>
      </rPr>
      <t xml:space="preserve">98–100%</t>
    </r>
  </si>
  <si>
    <t xml:space="preserve">多探测跨3种课堂情境(每名学生一组)，第一层内嵌A-B-A-B</t>
  </si>
  <si>
    <t xml:space="preserve">后两层干预前3次会话内仅1个探测点</t>
  </si>
  <si>
    <t xml:space="preserve">首个基线5点(&lt;6)；干预前探测不足3个</t>
  </si>
  <si>
    <r>
      <rPr>
        <sz val="10"/>
        <rFont val="Arial"/>
        <family val="0"/>
        <charset val="1"/>
      </rPr>
      <t xml:space="preserve">IOA</t>
    </r>
    <r>
      <rPr>
        <sz val="10"/>
        <rFont val="WenQuanYi Zen Hei"/>
        <family val="2"/>
      </rPr>
      <t xml:space="preserve">基线及各阶段</t>
    </r>
    <r>
      <rPr>
        <sz val="10"/>
        <rFont val="Arial"/>
        <family val="0"/>
        <charset val="1"/>
      </rPr>
      <t xml:space="preserve">33%</t>
    </r>
    <r>
      <rPr>
        <sz val="10"/>
        <rFont val="WenQuanYi Zen Hei"/>
        <family val="2"/>
      </rPr>
      <t xml:space="preserve">，</t>
    </r>
    <r>
      <rPr>
        <sz val="10"/>
        <rFont val="Arial"/>
        <family val="0"/>
        <charset val="1"/>
      </rPr>
      <t xml:space="preserve">95–100%</t>
    </r>
  </si>
  <si>
    <r>
      <rPr>
        <sz val="10"/>
        <rFont val="Arial"/>
        <family val="0"/>
        <charset val="1"/>
      </rPr>
      <t xml:space="preserve">A-B-A-B</t>
    </r>
    <r>
      <rPr>
        <sz val="10"/>
        <rFont val="WenQuanYi Zen Hei"/>
        <family val="2"/>
      </rPr>
      <t xml:space="preserve">撤回设计</t>
    </r>
    <r>
      <rPr>
        <sz val="10"/>
        <rFont val="Arial"/>
        <family val="0"/>
        <charset val="1"/>
      </rPr>
      <t xml:space="preserve">(3</t>
    </r>
    <r>
      <rPr>
        <sz val="10"/>
        <rFont val="WenQuanYi Zen Hei"/>
        <family val="2"/>
      </rPr>
      <t xml:space="preserve">人各一个</t>
    </r>
    <r>
      <rPr>
        <sz val="10"/>
        <rFont val="Arial"/>
        <family val="0"/>
        <charset val="1"/>
      </rPr>
      <t xml:space="preserve">)</t>
    </r>
  </si>
  <si>
    <r>
      <rPr>
        <sz val="10"/>
        <rFont val="Arial"/>
        <family val="0"/>
        <charset val="1"/>
      </rPr>
      <t xml:space="preserve">Keith</t>
    </r>
    <r>
      <rPr>
        <sz val="10"/>
        <rFont val="WenQuanYi Zen Hei"/>
        <family val="2"/>
      </rPr>
      <t xml:space="preserve">、</t>
    </r>
    <r>
      <rPr>
        <sz val="10"/>
        <rFont val="Arial"/>
        <family val="0"/>
        <charset val="1"/>
      </rPr>
      <t xml:space="preserve">Brad</t>
    </r>
    <r>
      <rPr>
        <sz val="10"/>
        <rFont val="WenQuanYi Zen Hei"/>
        <family val="2"/>
      </rPr>
      <t xml:space="preserve">首个基线</t>
    </r>
    <r>
      <rPr>
        <sz val="10"/>
        <rFont val="Arial"/>
        <family val="0"/>
        <charset val="1"/>
      </rPr>
      <t xml:space="preserve">6</t>
    </r>
    <r>
      <rPr>
        <sz val="10"/>
        <rFont val="WenQuanYi Zen Hei"/>
        <family val="2"/>
      </rPr>
      <t xml:space="preserve">点、各阶段≥</t>
    </r>
    <r>
      <rPr>
        <sz val="10"/>
        <rFont val="Arial"/>
        <family val="0"/>
        <charset val="1"/>
      </rPr>
      <t xml:space="preserve">5</t>
    </r>
    <r>
      <rPr>
        <sz val="10"/>
        <rFont val="WenQuanYi Zen Hei"/>
        <family val="2"/>
      </rPr>
      <t xml:space="preserve">点且有可逆性；</t>
    </r>
    <r>
      <rPr>
        <sz val="10"/>
        <rFont val="Arial"/>
        <family val="0"/>
        <charset val="1"/>
      </rPr>
      <t xml:space="preserve">Miranda</t>
    </r>
    <r>
      <rPr>
        <sz val="10"/>
        <rFont val="WenQuanYi Zen Hei"/>
        <family val="2"/>
      </rPr>
      <t xml:space="preserve">首个基线</t>
    </r>
    <r>
      <rPr>
        <sz val="10"/>
        <rFont val="Arial"/>
        <family val="0"/>
        <charset val="1"/>
      </rPr>
      <t xml:space="preserve">5</t>
    </r>
    <r>
      <rPr>
        <sz val="10"/>
        <rFont val="WenQuanYi Zen Hei"/>
        <family val="2"/>
      </rPr>
      <t xml:space="preserve">点仅有保留</t>
    </r>
  </si>
  <si>
    <r>
      <rPr>
        <sz val="10"/>
        <rFont val="Arial"/>
        <family val="0"/>
        <charset val="1"/>
      </rPr>
      <t xml:space="preserve">IOA</t>
    </r>
    <r>
      <rPr>
        <sz val="10"/>
        <rFont val="WenQuanYi Zen Hei"/>
        <family val="2"/>
      </rPr>
      <t xml:space="preserve">每人每阶段</t>
    </r>
    <r>
      <rPr>
        <sz val="10"/>
        <rFont val="Arial"/>
        <family val="0"/>
        <charset val="1"/>
      </rPr>
      <t xml:space="preserve">20%</t>
    </r>
    <r>
      <rPr>
        <sz val="10"/>
        <rFont val="WenQuanYi Zen Hei"/>
        <family val="2"/>
      </rPr>
      <t xml:space="preserve">，</t>
    </r>
    <r>
      <rPr>
        <sz val="10"/>
        <rFont val="Arial"/>
        <family val="0"/>
        <charset val="1"/>
      </rPr>
      <t xml:space="preserve">91–100%</t>
    </r>
  </si>
  <si>
    <t xml:space="preserve">变标准设计(3人各一个；基线→1→2→3个间隔)</t>
  </si>
  <si>
    <t xml:space="preserve">各阶段仅3个数据点</t>
  </si>
  <si>
    <r>
      <rPr>
        <sz val="10"/>
        <rFont val="Arial"/>
        <family val="0"/>
        <charset val="1"/>
      </rPr>
      <t xml:space="preserve">5.0</t>
    </r>
    <r>
      <rPr>
        <sz val="10"/>
        <rFont val="WenQuanYi Zen Hei"/>
        <family val="2"/>
      </rPr>
      <t xml:space="preserve">按撤回设计标准评：</t>
    </r>
    <r>
      <rPr>
        <sz val="10"/>
        <rFont val="Arial"/>
        <family val="0"/>
        <charset val="1"/>
      </rPr>
      <t xml:space="preserve">3</t>
    </r>
    <r>
      <rPr>
        <sz val="10"/>
        <rFont val="WenQuanYi Zen Hei"/>
        <family val="2"/>
      </rPr>
      <t xml:space="preserve">次标准变化、每阶段</t>
    </r>
    <r>
      <rPr>
        <sz val="10"/>
        <rFont val="Arial"/>
        <family val="0"/>
        <charset val="1"/>
      </rPr>
      <t xml:space="preserve">3</t>
    </r>
    <r>
      <rPr>
        <sz val="10"/>
        <rFont val="WenQuanYi Zen Hei"/>
        <family val="2"/>
      </rPr>
      <t xml:space="preserve">点→有保留；首个基线</t>
    </r>
    <r>
      <rPr>
        <sz val="10"/>
        <rFont val="Arial"/>
        <family val="0"/>
        <charset val="1"/>
      </rPr>
      <t xml:space="preserve">3</t>
    </r>
    <r>
      <rPr>
        <sz val="10"/>
        <rFont val="WenQuanYi Zen Hei"/>
        <family val="2"/>
      </rPr>
      <t xml:space="preserve">点</t>
    </r>
    <r>
      <rPr>
        <sz val="10"/>
        <rFont val="Arial"/>
        <family val="0"/>
        <charset val="1"/>
      </rPr>
      <t xml:space="preserve">(&lt;6)</t>
    </r>
  </si>
  <si>
    <t xml:space="preserve">中等(初判；Max一开始就远超各级标准，行为未随标准阶梯变化)</t>
  </si>
  <si>
    <r>
      <rPr>
        <sz val="10"/>
        <rFont val="Arial"/>
        <family val="0"/>
        <charset val="1"/>
      </rPr>
      <t xml:space="preserve">3.0</t>
    </r>
    <r>
      <rPr>
        <sz val="10"/>
        <rFont val="WenQuanYi Zen Hei"/>
        <family val="2"/>
      </rPr>
      <t xml:space="preserve">手册明确标准也适用于变标准设计；</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29–33%</t>
    </r>
    <r>
      <rPr>
        <sz val="10"/>
        <rFont val="WenQuanYi Zen Hei"/>
        <family val="2"/>
      </rPr>
      <t xml:space="preserve">，</t>
    </r>
    <r>
      <rPr>
        <sz val="10"/>
        <rFont val="Arial"/>
        <family val="0"/>
        <charset val="1"/>
      </rPr>
      <t xml:space="preserve">89–98%</t>
    </r>
  </si>
  <si>
    <r>
      <rPr>
        <sz val="10"/>
        <rFont val="Arial"/>
        <family val="0"/>
        <charset val="1"/>
      </rPr>
      <t xml:space="preserve">Anton A-B-A-B + George A-B-A</t>
    </r>
    <r>
      <rPr>
        <sz val="10"/>
        <rFont val="WenQuanYi Zen Hei"/>
        <family val="2"/>
      </rPr>
      <t xml:space="preserve">，两人错开引入</t>
    </r>
  </si>
  <si>
    <t xml:space="preserve">无保留(Anton的ABAB)</t>
  </si>
  <si>
    <r>
      <rPr>
        <sz val="10"/>
        <rFont val="Arial"/>
        <family val="0"/>
        <charset val="1"/>
      </rPr>
      <t xml:space="preserve">George</t>
    </r>
    <r>
      <rPr>
        <sz val="10"/>
        <rFont val="WenQuanYi Zen Hei"/>
        <family val="2"/>
      </rPr>
      <t xml:space="preserve">只有</t>
    </r>
    <r>
      <rPr>
        <sz val="10"/>
        <rFont val="Arial"/>
        <family val="0"/>
        <charset val="1"/>
      </rPr>
      <t xml:space="preserve">A-B-A(≤3</t>
    </r>
    <r>
      <rPr>
        <sz val="10"/>
        <rFont val="WenQuanYi Zen Hei"/>
        <family val="2"/>
      </rPr>
      <t xml:space="preserve">个阶段</t>
    </r>
    <r>
      <rPr>
        <sz val="10"/>
        <rFont val="Arial"/>
        <family val="0"/>
        <charset val="1"/>
      </rPr>
      <t xml:space="preserve">)</t>
    </r>
    <r>
      <rPr>
        <sz val="10"/>
        <rFont val="WenQuanYi Zen Hei"/>
        <family val="2"/>
      </rPr>
      <t xml:space="preserve">，单独不达标</t>
    </r>
  </si>
  <si>
    <t xml:space="preserve">有保留(Anton)</t>
  </si>
  <si>
    <r>
      <rPr>
        <sz val="10"/>
        <rFont val="Arial"/>
        <family val="0"/>
        <charset val="1"/>
      </rPr>
      <t xml:space="preserve">Anton</t>
    </r>
    <r>
      <rPr>
        <sz val="10"/>
        <rFont val="WenQuanYi Zen Hei"/>
        <family val="2"/>
      </rPr>
      <t xml:space="preserve">首个基线</t>
    </r>
    <r>
      <rPr>
        <sz val="10"/>
        <rFont val="Arial"/>
        <family val="0"/>
        <charset val="1"/>
      </rPr>
      <t xml:space="preserve">(3,2,0,2,10,5,7)</t>
    </r>
    <r>
      <rPr>
        <sz val="10"/>
        <rFont val="WenQuanYi Zen Hei"/>
        <family val="2"/>
      </rPr>
      <t xml:space="preserve">呈治疗方向上升，后</t>
    </r>
    <r>
      <rPr>
        <sz val="10"/>
        <rFont val="Arial"/>
        <family val="0"/>
        <charset val="1"/>
      </rPr>
      <t xml:space="preserve">3</t>
    </r>
    <r>
      <rPr>
        <sz val="10"/>
        <rFont val="WenQuanYi Zen Hei"/>
        <family val="2"/>
      </rPr>
      <t xml:space="preserve">点与其余点</t>
    </r>
    <r>
      <rPr>
        <sz val="10"/>
        <rFont val="Arial"/>
        <family val="0"/>
        <charset val="1"/>
      </rPr>
      <t xml:space="preserve">NAP=1.0&gt;.85</t>
    </r>
  </si>
  <si>
    <t xml:space="preserve">中等(初判；B1有21%低点，A2出现45%高点)</t>
  </si>
  <si>
    <r>
      <rPr>
        <sz val="10"/>
        <rFont val="Arial"/>
        <family val="0"/>
        <charset val="1"/>
      </rPr>
      <t xml:space="preserve">IOA Anton 29%(</t>
    </r>
    <r>
      <rPr>
        <sz val="10"/>
        <rFont val="WenQuanYi Zen Hei"/>
        <family val="2"/>
      </rPr>
      <t xml:space="preserve">各阶段</t>
    </r>
    <r>
      <rPr>
        <sz val="10"/>
        <rFont val="Arial"/>
        <family val="0"/>
        <charset val="1"/>
      </rPr>
      <t xml:space="preserve">20–43%)</t>
    </r>
    <r>
      <rPr>
        <sz val="10"/>
        <rFont val="WenQuanYi Zen Hei"/>
        <family val="2"/>
      </rPr>
      <t xml:space="preserve">、</t>
    </r>
    <r>
      <rPr>
        <sz val="10"/>
        <rFont val="Arial"/>
        <family val="0"/>
        <charset val="1"/>
      </rPr>
      <t xml:space="preserve">George 37%</t>
    </r>
  </si>
  <si>
    <r>
      <rPr>
        <sz val="10"/>
        <rFont val="Arial"/>
        <family val="0"/>
        <charset val="1"/>
      </rPr>
      <t xml:space="preserve">Eva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去掉该层后其余</t>
    </r>
    <r>
      <rPr>
        <sz val="10"/>
        <rFont val="Arial"/>
        <family val="0"/>
        <charset val="1"/>
      </rPr>
      <t xml:space="preserve">3</t>
    </r>
    <r>
      <rPr>
        <sz val="10"/>
        <rFont val="WenQuanYi Zen Hei"/>
        <family val="2"/>
      </rPr>
      <t xml:space="preserve">层基线</t>
    </r>
    <r>
      <rPr>
        <sz val="10"/>
        <rFont val="Arial"/>
        <family val="0"/>
        <charset val="1"/>
      </rPr>
      <t xml:space="preserve">5–10</t>
    </r>
    <r>
      <rPr>
        <sz val="10"/>
        <rFont val="WenQuanYi Zen Hei"/>
        <family val="2"/>
      </rPr>
      <t xml:space="preserve">点、干预期≥</t>
    </r>
    <r>
      <rPr>
        <sz val="10"/>
        <rFont val="Arial"/>
        <family val="0"/>
        <charset val="1"/>
      </rPr>
      <t xml:space="preserve">5</t>
    </r>
    <r>
      <rPr>
        <sz val="10"/>
        <rFont val="WenQuanYi Zen Hei"/>
        <family val="2"/>
      </rPr>
      <t xml:space="preserve">点，仍满足无保留</t>
    </r>
    <r>
      <rPr>
        <sz val="10"/>
        <rFont val="Arial"/>
        <family val="0"/>
        <charset val="1"/>
      </rPr>
      <t xml:space="preserve">)</t>
    </r>
  </si>
  <si>
    <r>
      <rPr>
        <sz val="10"/>
        <rFont val="Arial"/>
        <family val="0"/>
        <charset val="1"/>
      </rPr>
      <t xml:space="preserve">Eva</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t>
    </r>
    <r>
      <rPr>
        <sz val="10"/>
        <rFont val="Arial"/>
        <family val="0"/>
        <charset val="1"/>
      </rPr>
      <t xml:space="preserve">Lena</t>
    </r>
    <r>
      <rPr>
        <sz val="10"/>
        <rFont val="WenQuanYi Zen Hei"/>
        <family val="2"/>
      </rPr>
      <t xml:space="preserve">基线</t>
    </r>
    <r>
      <rPr>
        <sz val="10"/>
        <rFont val="Arial"/>
        <family val="0"/>
        <charset val="1"/>
      </rPr>
      <t xml:space="preserve">5</t>
    </r>
    <r>
      <rPr>
        <sz val="10"/>
        <rFont val="WenQuanYi Zen Hei"/>
        <family val="2"/>
      </rPr>
      <t xml:space="preserve">点非零变异，去掉后</t>
    </r>
    <r>
      <rPr>
        <sz val="10"/>
        <rFont val="Arial"/>
        <family val="0"/>
        <charset val="1"/>
      </rPr>
      <t xml:space="preserve">Eva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r>
      <rPr>
        <sz val="10"/>
        <rFont val="WenQuanYi Zen Hei"/>
        <family val="2"/>
      </rPr>
      <t xml:space="preserve">满足无保留</t>
    </r>
  </si>
  <si>
    <t xml:space="preserve">强(初判，主动发起)</t>
  </si>
  <si>
    <r>
      <rPr>
        <sz val="10"/>
        <rFont val="Arial"/>
        <family val="0"/>
        <charset val="1"/>
      </rPr>
      <t xml:space="preserve">IOA</t>
    </r>
    <r>
      <rPr>
        <sz val="10"/>
        <rFont val="WenQuanYi Zen Hei"/>
        <family val="2"/>
      </rPr>
      <t xml:space="preserve">每人每条件≥</t>
    </r>
    <r>
      <rPr>
        <sz val="10"/>
        <rFont val="Arial"/>
        <family val="0"/>
        <charset val="1"/>
      </rPr>
      <t xml:space="preserve">33%</t>
    </r>
    <r>
      <rPr>
        <sz val="10"/>
        <rFont val="WenQuanYi Zen Hei"/>
        <family val="2"/>
      </rPr>
      <t xml:space="preserve">，</t>
    </r>
    <r>
      <rPr>
        <sz val="10"/>
        <rFont val="Arial"/>
        <family val="0"/>
        <charset val="1"/>
      </rPr>
      <t xml:space="preserve">85–100%</t>
    </r>
  </si>
  <si>
    <r>
      <rPr>
        <sz val="10"/>
        <rFont val="Arial"/>
        <family val="0"/>
        <charset val="1"/>
      </rPr>
      <t xml:space="preserve">A-B-A-B</t>
    </r>
    <r>
      <rPr>
        <sz val="10"/>
        <rFont val="WenQuanYi Zen Hei"/>
        <family val="2"/>
      </rPr>
      <t xml:space="preserve">撤回，干预期内红卡</t>
    </r>
    <r>
      <rPr>
        <sz val="10"/>
        <rFont val="Arial"/>
        <family val="0"/>
        <charset val="1"/>
      </rPr>
      <t xml:space="preserve">/</t>
    </r>
    <r>
      <rPr>
        <sz val="10"/>
        <rFont val="WenQuanYi Zen Hei"/>
        <family val="2"/>
      </rPr>
      <t xml:space="preserve">绿卡交替</t>
    </r>
    <r>
      <rPr>
        <sz val="10"/>
        <rFont val="Arial"/>
        <family val="0"/>
        <charset val="1"/>
      </rPr>
      <t xml:space="preserve">(1</t>
    </r>
    <r>
      <rPr>
        <sz val="10"/>
        <rFont val="WenQuanYi Zen Hei"/>
        <family val="2"/>
      </rPr>
      <t xml:space="preserve">人</t>
    </r>
    <r>
      <rPr>
        <sz val="10"/>
        <rFont val="Arial"/>
        <family val="0"/>
        <charset val="1"/>
      </rPr>
      <t xml:space="preserve">)</t>
    </r>
  </si>
  <si>
    <t xml:space="preserve">撤回期(A2)仅4点</t>
  </si>
  <si>
    <t xml:space="preserve">首个基线5点(&lt;6)；A2 4点</t>
  </si>
  <si>
    <t xml:space="preserve">强(初判，红卡vs基线)</t>
  </si>
  <si>
    <t xml:space="preserve">若只看红卡vs绿卡的交替处理对比，两版均可达无保留；IOA 36%会话，92.4%</t>
  </si>
  <si>
    <r>
      <rPr>
        <sz val="10"/>
        <rFont val="Arial"/>
        <family val="0"/>
        <charset val="1"/>
      </rPr>
      <t xml:space="preserve">Brody</t>
    </r>
    <r>
      <rPr>
        <sz val="10"/>
        <rFont val="WenQuanYi Zen Hei"/>
        <family val="2"/>
      </rPr>
      <t xml:space="preserve">基线仅</t>
    </r>
    <r>
      <rPr>
        <sz val="10"/>
        <rFont val="Arial"/>
        <family val="0"/>
        <charset val="1"/>
      </rPr>
      <t xml:space="preserve">5</t>
    </r>
    <r>
      <rPr>
        <sz val="10"/>
        <rFont val="WenQuanYi Zen Hei"/>
        <family val="2"/>
      </rPr>
      <t xml:space="preserve">点；去掉后</t>
    </r>
    <r>
      <rPr>
        <sz val="10"/>
        <rFont val="Arial"/>
        <family val="0"/>
        <charset val="1"/>
      </rPr>
      <t xml:space="preserve">Matthew</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基线</t>
    </r>
    <r>
      <rPr>
        <sz val="10"/>
        <rFont val="Arial"/>
        <family val="0"/>
        <charset val="1"/>
      </rPr>
      <t xml:space="preserve">6–10</t>
    </r>
    <r>
      <rPr>
        <sz val="10"/>
        <rFont val="WenQuanYi Zen Hei"/>
        <family val="2"/>
      </rPr>
      <t xml:space="preserve">点，</t>
    </r>
    <r>
      <rPr>
        <sz val="10"/>
        <rFont val="Arial"/>
        <family val="0"/>
        <charset val="1"/>
      </rPr>
      <t xml:space="preserve">3</t>
    </r>
    <r>
      <rPr>
        <sz val="10"/>
        <rFont val="WenQuanYi Zen Hei"/>
        <family val="2"/>
      </rPr>
      <t xml:space="preserve">个引入时间点</t>
    </r>
    <r>
      <rPr>
        <sz val="10"/>
        <rFont val="Arial"/>
        <family val="0"/>
        <charset val="1"/>
      </rPr>
      <t xml:space="preserve">)</t>
    </r>
    <r>
      <rPr>
        <sz val="10"/>
        <rFont val="WenQuanYi Zen Hei"/>
        <family val="2"/>
      </rPr>
      <t xml:space="preserve">满足无保留，且无治疗方向基线趋势</t>
    </r>
  </si>
  <si>
    <r>
      <rPr>
        <sz val="10"/>
        <rFont val="Arial"/>
        <family val="0"/>
        <charset val="1"/>
      </rPr>
      <t xml:space="preserve">IOA 27–50%</t>
    </r>
    <r>
      <rPr>
        <sz val="10"/>
        <rFont val="WenQuanYi Zen Hei"/>
        <family val="2"/>
      </rPr>
      <t xml:space="preserve">，</t>
    </r>
    <r>
      <rPr>
        <sz val="10"/>
        <rFont val="Arial"/>
        <family val="0"/>
        <charset val="1"/>
      </rPr>
      <t xml:space="preserve">&gt;90%</t>
    </r>
  </si>
  <si>
    <t xml:space="preserve">多探测跨3种情境(5人各一组)</t>
  </si>
  <si>
    <t xml:space="preserve">不达标(严格判)</t>
  </si>
  <si>
    <t xml:space="preserve">各人至少有一层在首3次会话内无探测点(如Conner键盘课首点在第7次、Joseph第3层首点在第4–5次、Gabby第2层首点在第9次)</t>
  </si>
  <si>
    <t xml:space="preserve">首3次会话内无所有层垂直重叠的探测点</t>
  </si>
  <si>
    <t xml:space="preserve">强(初判，若按宽松解读达标)</t>
  </si>
  <si>
    <t xml:space="preserve">宽松解读(只要求各层在任何层干预前已有基线、他层进入干预后仍有探测)：两版均为有保留；IOA基线≥33%、干预50%，约98%</t>
  </si>
  <si>
    <t xml:space="preserve">多基线含多探测成分(3对)</t>
  </si>
  <si>
    <r>
      <rPr>
        <sz val="10"/>
        <rFont val="Arial"/>
        <family val="0"/>
        <charset val="1"/>
      </rPr>
      <t xml:space="preserve">Quincy</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Adam</t>
    </r>
    <r>
      <rPr>
        <sz val="10"/>
        <rFont val="WenQuanYi Zen Hei"/>
        <family val="2"/>
      </rPr>
      <t xml:space="preserve">首</t>
    </r>
    <r>
      <rPr>
        <sz val="10"/>
        <rFont val="Arial"/>
        <family val="0"/>
        <charset val="1"/>
      </rPr>
      <t xml:space="preserve">3</t>
    </r>
    <r>
      <rPr>
        <sz val="10"/>
        <rFont val="WenQuanYi Zen Hei"/>
        <family val="2"/>
      </rPr>
      <t xml:space="preserve">次会话内只有</t>
    </r>
    <r>
      <rPr>
        <sz val="10"/>
        <rFont val="Arial"/>
        <family val="0"/>
        <charset val="1"/>
      </rPr>
      <t xml:space="preserve">2</t>
    </r>
    <r>
      <rPr>
        <sz val="10"/>
        <rFont val="WenQuanYi Zen Hei"/>
        <family val="2"/>
      </rPr>
      <t xml:space="preserve">个探测点、干预前</t>
    </r>
    <r>
      <rPr>
        <sz val="10"/>
        <rFont val="Arial"/>
        <family val="0"/>
        <charset val="1"/>
      </rPr>
      <t xml:space="preserve">3</t>
    </r>
    <r>
      <rPr>
        <sz val="10"/>
        <rFont val="WenQuanYi Zen Hei"/>
        <family val="2"/>
      </rPr>
      <t xml:space="preserve">次会话内探测不连续</t>
    </r>
  </si>
  <si>
    <r>
      <rPr>
        <sz val="10"/>
        <rFont val="Arial"/>
        <family val="0"/>
        <charset val="1"/>
      </rPr>
      <t xml:space="preserve">Quincy</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，但多探测要求首</t>
    </r>
    <r>
      <rPr>
        <sz val="10"/>
        <rFont val="Arial"/>
        <family val="0"/>
        <charset val="1"/>
      </rPr>
      <t xml:space="preserve">3</t>
    </r>
    <r>
      <rPr>
        <sz val="10"/>
        <rFont val="WenQuanYi Zen Hei"/>
        <family val="2"/>
      </rPr>
      <t xml:space="preserve">次会话每层</t>
    </r>
    <r>
      <rPr>
        <sz val="10"/>
        <rFont val="Arial"/>
        <family val="0"/>
        <charset val="1"/>
      </rPr>
      <t xml:space="preserve">3</t>
    </r>
    <r>
      <rPr>
        <sz val="10"/>
        <rFont val="WenQuanYi Zen Hei"/>
        <family val="2"/>
      </rPr>
      <t xml:space="preserve">个点、干预前连续</t>
    </r>
    <r>
      <rPr>
        <sz val="10"/>
        <rFont val="Arial"/>
        <family val="0"/>
        <charset val="1"/>
      </rPr>
      <t xml:space="preserve">3</t>
    </r>
    <r>
      <rPr>
        <sz val="10"/>
        <rFont val="WenQuanYi Zen Hei"/>
        <family val="2"/>
      </rPr>
      <t xml:space="preserve">个探测，</t>
    </r>
    <r>
      <rPr>
        <sz val="10"/>
        <rFont val="Arial"/>
        <family val="0"/>
        <charset val="1"/>
      </rPr>
      <t xml:space="preserve">Adam</t>
    </r>
    <r>
      <rPr>
        <sz val="10"/>
        <rFont val="WenQuanYi Zen Hei"/>
        <family val="2"/>
      </rPr>
      <t xml:space="preserve">不满足</t>
    </r>
  </si>
  <si>
    <r>
      <rPr>
        <sz val="10"/>
        <rFont val="Arial"/>
        <family val="0"/>
        <charset val="1"/>
      </rPr>
      <t xml:space="preserve">IOA</t>
    </r>
    <r>
      <rPr>
        <sz val="10"/>
        <rFont val="WenQuanYi Zen Hei"/>
        <family val="2"/>
      </rPr>
      <t xml:space="preserve">基线</t>
    </r>
    <r>
      <rPr>
        <sz val="10"/>
        <rFont val="Arial"/>
        <family val="0"/>
        <charset val="1"/>
      </rPr>
      <t xml:space="preserve">29–50%</t>
    </r>
    <r>
      <rPr>
        <sz val="10"/>
        <rFont val="WenQuanYi Zen Hei"/>
        <family val="2"/>
      </rPr>
      <t xml:space="preserve">、干预</t>
    </r>
    <r>
      <rPr>
        <sz val="10"/>
        <rFont val="Arial"/>
        <family val="0"/>
        <charset val="1"/>
      </rPr>
      <t xml:space="preserve">38–57%</t>
    </r>
    <r>
      <rPr>
        <sz val="10"/>
        <rFont val="WenQuanYi Zen Hei"/>
        <family val="2"/>
      </rPr>
      <t xml:space="preserve">，</t>
    </r>
    <r>
      <rPr>
        <sz val="10"/>
        <rFont val="Arial"/>
        <family val="0"/>
        <charset val="1"/>
      </rPr>
      <t xml:space="preserve">94–99%</t>
    </r>
  </si>
  <si>
    <t xml:space="preserve">多基线(3人)：基线→低概率请求→高概率请求→低概率请求</t>
  </si>
  <si>
    <r>
      <rPr>
        <sz val="10"/>
        <rFont val="Arial"/>
        <family val="0"/>
        <charset val="1"/>
      </rPr>
      <t xml:space="preserve">—(3.0</t>
    </r>
    <r>
      <rPr>
        <sz val="10"/>
        <rFont val="WenQuanYi Zen Hei"/>
        <family val="2"/>
      </rPr>
      <t xml:space="preserve">只</t>
    </r>
    <r>
      <rPr>
        <sz val="10"/>
        <rFont val="Arial"/>
        <family val="0"/>
        <charset val="1"/>
      </rPr>
      <t xml:space="preserve">"</t>
    </r>
    <r>
      <rPr>
        <sz val="10"/>
        <rFont val="WenQuanYi Zen Hei"/>
        <family val="2"/>
      </rPr>
      <t xml:space="preserve">隐含</t>
    </r>
    <r>
      <rPr>
        <sz val="10"/>
        <rFont val="Arial"/>
        <family val="0"/>
        <charset val="1"/>
      </rPr>
      <t xml:space="preserve">"</t>
    </r>
    <r>
      <rPr>
        <sz val="10"/>
        <rFont val="WenQuanYi Zen Hei"/>
        <family val="2"/>
      </rPr>
      <t xml:space="preserve">同时性要求，三人自第</t>
    </r>
    <r>
      <rPr>
        <sz val="10"/>
        <rFont val="Arial"/>
        <family val="0"/>
        <charset val="1"/>
      </rPr>
      <t xml:space="preserve">1</t>
    </r>
    <r>
      <rPr>
        <sz val="10"/>
        <rFont val="WenQuanYi Zen Hei"/>
        <family val="2"/>
      </rPr>
      <t xml:space="preserve">次会话起同时观察</t>
    </r>
    <r>
      <rPr>
        <sz val="10"/>
        <rFont val="Arial"/>
        <family val="0"/>
        <charset val="1"/>
      </rPr>
      <t xml:space="preserve">)</t>
    </r>
  </si>
  <si>
    <t xml:space="preserve">以"高概率vs低概率"为对比时，Paul、Chris的低概率阶段始于Eric进入高概率干预之后，违反5.0同时性第2条</t>
  </si>
  <si>
    <r>
      <rPr>
        <sz val="10"/>
        <rFont val="Arial"/>
        <family val="0"/>
        <charset val="1"/>
      </rPr>
      <t xml:space="preserve">5.0</t>
    </r>
    <r>
      <rPr>
        <sz val="10"/>
        <rFont val="WenQuanYi Zen Hei"/>
        <family val="2"/>
      </rPr>
      <t xml:space="preserve">同时性要求明确化</t>
    </r>
  </si>
  <si>
    <t xml:space="preserve">中等(初判；高概率阶段引入均有效，但撤回到低概率后社交行为未回落)</t>
  </si>
  <si>
    <t xml:space="preserve">若把基线与低概率阶段合并视为对照，5.0可评有保留；IOA 25–35%，97–100%</t>
  </si>
  <si>
    <r>
      <rPr>
        <sz val="10"/>
        <rFont val="Arial"/>
        <family val="0"/>
        <charset val="1"/>
      </rPr>
      <t xml:space="preserve">A→B(</t>
    </r>
    <r>
      <rPr>
        <sz val="10"/>
        <rFont val="WenQuanYi Zen Hei"/>
        <family val="2"/>
      </rPr>
      <t xml:space="preserve">音乐小屋，</t>
    </r>
    <r>
      <rPr>
        <sz val="10"/>
        <rFont val="Arial"/>
        <family val="0"/>
        <charset val="1"/>
      </rPr>
      <t xml:space="preserve">4</t>
    </r>
    <r>
      <rPr>
        <sz val="10"/>
        <rFont val="WenQuanYi Zen Hei"/>
        <family val="2"/>
      </rPr>
      <t xml:space="preserve">人同时引入</t>
    </r>
    <r>
      <rPr>
        <sz val="10"/>
        <rFont val="Arial"/>
        <family val="0"/>
        <charset val="1"/>
      </rPr>
      <t xml:space="preserve">)→C(</t>
    </r>
    <r>
      <rPr>
        <sz val="10"/>
        <rFont val="WenQuanYi Zen Hei"/>
        <family val="2"/>
      </rPr>
      <t xml:space="preserve">教师介导，错开</t>
    </r>
    <r>
      <rPr>
        <sz val="10"/>
        <rFont val="Arial"/>
        <family val="0"/>
        <charset val="1"/>
      </rPr>
      <t xml:space="preserve">)→D(</t>
    </r>
    <r>
      <rPr>
        <sz val="10"/>
        <rFont val="WenQuanYi Zen Hei"/>
        <family val="2"/>
      </rPr>
      <t xml:space="preserve">同伴介导</t>
    </r>
    <r>
      <rPr>
        <sz val="10"/>
        <rFont val="Arial"/>
        <family val="0"/>
        <charset val="1"/>
      </rPr>
      <t xml:space="preserve">)</t>
    </r>
    <r>
      <rPr>
        <sz val="10"/>
        <rFont val="WenQuanYi Zen Hei"/>
        <family val="2"/>
      </rPr>
      <t xml:space="preserve">；以</t>
    </r>
    <r>
      <rPr>
        <sz val="10"/>
        <rFont val="Arial"/>
        <family val="0"/>
        <charset val="1"/>
      </rPr>
      <t xml:space="preserve">C vs B</t>
    </r>
    <r>
      <rPr>
        <sz val="10"/>
        <rFont val="WenQuanYi Zen Hei"/>
        <family val="2"/>
      </rPr>
      <t xml:space="preserve">按多基线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评</t>
    </r>
  </si>
  <si>
    <t xml:space="preserve">无保留(仅C vs B对比)</t>
  </si>
  <si>
    <r>
      <rPr>
        <sz val="10"/>
        <rFont val="Arial"/>
        <family val="0"/>
        <charset val="1"/>
      </rPr>
      <t xml:space="preserve">B</t>
    </r>
    <r>
      <rPr>
        <sz val="10"/>
        <rFont val="WenQuanYi Zen Hei"/>
        <family val="2"/>
      </rPr>
      <t xml:space="preserve">阶段四人同时引入，无实验控制，不能评</t>
    </r>
  </si>
  <si>
    <r>
      <rPr>
        <sz val="10"/>
        <rFont val="Arial"/>
        <family val="0"/>
        <charset val="1"/>
      </rPr>
      <t xml:space="preserve">C</t>
    </r>
    <r>
      <rPr>
        <sz val="10"/>
        <rFont val="WenQuanYi Zen Hei"/>
        <family val="2"/>
      </rPr>
      <t xml:space="preserve">的对比阶段</t>
    </r>
    <r>
      <rPr>
        <sz val="10"/>
        <rFont val="Arial"/>
        <family val="0"/>
        <charset val="1"/>
      </rPr>
      <t xml:space="preserve">(B)</t>
    </r>
    <r>
      <rPr>
        <sz val="10"/>
        <rFont val="WenQuanYi Zen Hei"/>
        <family val="2"/>
      </rPr>
      <t xml:space="preserve">每人≥</t>
    </r>
    <r>
      <rPr>
        <sz val="10"/>
        <rFont val="Arial"/>
        <family val="0"/>
        <charset val="1"/>
      </rPr>
      <t xml:space="preserve">6</t>
    </r>
    <r>
      <rPr>
        <sz val="10"/>
        <rFont val="WenQuanYi Zen Hei"/>
        <family val="2"/>
      </rPr>
      <t xml:space="preserve">点、干预期≥</t>
    </r>
    <r>
      <rPr>
        <sz val="10"/>
        <rFont val="Arial"/>
        <family val="0"/>
        <charset val="1"/>
      </rPr>
      <t xml:space="preserve">5</t>
    </r>
    <r>
      <rPr>
        <sz val="10"/>
        <rFont val="WenQuanYi Zen Hei"/>
        <family val="2"/>
      </rPr>
      <t xml:space="preserve">点</t>
    </r>
  </si>
  <si>
    <r>
      <rPr>
        <sz val="10"/>
        <rFont val="Arial"/>
        <family val="0"/>
        <charset val="1"/>
      </rPr>
      <t xml:space="preserve">C</t>
    </r>
    <r>
      <rPr>
        <sz val="10"/>
        <rFont val="WenQuanYi Zen Hei"/>
        <family val="2"/>
      </rPr>
      <t xml:space="preserve">阶段记录的是</t>
    </r>
    <r>
      <rPr>
        <sz val="10"/>
        <rFont val="Arial"/>
        <family val="0"/>
        <charset val="1"/>
      </rPr>
      <t xml:space="preserve">"</t>
    </r>
    <r>
      <rPr>
        <sz val="10"/>
        <rFont val="WenQuanYi Zen Hei"/>
        <family val="2"/>
      </rPr>
      <t xml:space="preserve">有支持的互动</t>
    </r>
    <r>
      <rPr>
        <sz val="10"/>
        <rFont val="Arial"/>
        <family val="0"/>
        <charset val="1"/>
      </rPr>
      <t xml:space="preserve">"</t>
    </r>
    <r>
      <rPr>
        <sz val="10"/>
        <rFont val="WenQuanYi Zen Hei"/>
        <family val="2"/>
      </rPr>
      <t xml:space="preserve">，与</t>
    </r>
    <r>
      <rPr>
        <sz val="10"/>
        <rFont val="Arial"/>
        <family val="0"/>
        <charset val="1"/>
      </rPr>
      <t xml:space="preserve">A</t>
    </r>
    <r>
      <rPr>
        <sz val="10"/>
        <rFont val="WenQuanYi Zen Hei"/>
        <family val="2"/>
      </rPr>
      <t xml:space="preserve">、</t>
    </r>
    <r>
      <rPr>
        <sz val="10"/>
        <rFont val="Arial"/>
        <family val="0"/>
        <charset val="1"/>
      </rPr>
      <t xml:space="preserve">B</t>
    </r>
    <r>
      <rPr>
        <sz val="10"/>
        <rFont val="WenQuanYi Zen Hei"/>
        <family val="2"/>
      </rPr>
      <t xml:space="preserve">阶段的</t>
    </r>
    <r>
      <rPr>
        <sz val="10"/>
        <rFont val="Arial"/>
        <family val="0"/>
        <charset val="1"/>
      </rPr>
      <t xml:space="preserve">"</t>
    </r>
    <r>
      <rPr>
        <sz val="10"/>
        <rFont val="WenQuanYi Zen Hei"/>
        <family val="2"/>
      </rPr>
      <t xml:space="preserve">无支持互动</t>
    </r>
    <r>
      <rPr>
        <sz val="10"/>
        <rFont val="Arial"/>
        <family val="0"/>
        <charset val="1"/>
      </rPr>
      <t xml:space="preserve">"</t>
    </r>
    <r>
      <rPr>
        <sz val="10"/>
        <rFont val="WenQuanYi Zen Hei"/>
        <family val="2"/>
      </rPr>
      <t xml:space="preserve">口径不同，需核对是否算同一结局；</t>
    </r>
    <r>
      <rPr>
        <sz val="10"/>
        <rFont val="Arial"/>
        <family val="0"/>
        <charset val="1"/>
      </rPr>
      <t xml:space="preserve">IOA</t>
    </r>
    <r>
      <rPr>
        <sz val="10"/>
        <rFont val="WenQuanYi Zen Hei"/>
        <family val="2"/>
      </rPr>
      <t xml:space="preserve">每人每阶段</t>
    </r>
    <r>
      <rPr>
        <sz val="10"/>
        <rFont val="Arial"/>
        <family val="0"/>
        <charset val="1"/>
      </rPr>
      <t xml:space="preserve">36.8%</t>
    </r>
    <r>
      <rPr>
        <sz val="10"/>
        <rFont val="WenQuanYi Zen Hei"/>
        <family val="2"/>
      </rPr>
      <t xml:space="preserve">，</t>
    </r>
    <r>
      <rPr>
        <sz val="10"/>
        <rFont val="Arial"/>
        <family val="0"/>
        <charset val="1"/>
      </rPr>
      <t xml:space="preserve">98.2%</t>
    </r>
  </si>
  <si>
    <t xml:space="preserve">非同时多基线(3人)，Child 1另有A-B-A-B</t>
  </si>
  <si>
    <t xml:space="preserve">作者自述非同时多基线；Child 1第二基线仅2点，撤回设计也不成立</t>
  </si>
  <si>
    <t xml:space="preserve">违反同时性要求；Child 1撤回设计A2仅2点</t>
  </si>
  <si>
    <t xml:space="preserve">宽松解读(接受非同时多基线)：3.0为有保留(Child 1基线3点)；IOA 33%，95–99%</t>
  </si>
  <si>
    <t xml:space="preserve">多基线，两批(批1：4人；批2：3人)</t>
  </si>
  <si>
    <t xml:space="preserve">有保留(批1)</t>
  </si>
  <si>
    <t xml:space="preserve">批1：P1基线4点、P2干预期4点；批2：P5基线仅2点，只剩2层有效→批2不达标</t>
  </si>
  <si>
    <t xml:space="preserve">首个基线&lt;6点；批2同左不达标</t>
  </si>
  <si>
    <t xml:space="preserve">中等(初判；P4干预期与基线重叠，属非效果)</t>
  </si>
  <si>
    <r>
      <rPr>
        <sz val="10"/>
        <rFont val="Arial"/>
        <family val="0"/>
        <charset val="1"/>
      </rPr>
      <t xml:space="preserve">IOA 30%</t>
    </r>
    <r>
      <rPr>
        <sz val="10"/>
        <rFont val="WenQuanYi Zen Hei"/>
        <family val="2"/>
      </rPr>
      <t xml:space="preserve">会话、覆盖各条件，</t>
    </r>
    <r>
      <rPr>
        <sz val="10"/>
        <rFont val="Arial"/>
        <family val="0"/>
        <charset val="1"/>
      </rPr>
      <t xml:space="preserve">88–95%</t>
    </r>
  </si>
  <si>
    <t xml:space="preserve">多基线(3人；基线探测间隔进行)，干预=同伴训练+直接教学→自我监控</t>
  </si>
  <si>
    <t xml:space="preserve">基线为间隔探测，首3次会话及干预前3次会话内探测点不足3个</t>
  </si>
  <si>
    <t xml:space="preserve">同左；Stuart基线5点(&lt;6)</t>
  </si>
  <si>
    <t xml:space="preserve">中等(初判；Stuart、Anthony效果滞后，干预初期与基线重叠)</t>
  </si>
  <si>
    <r>
      <rPr>
        <sz val="10"/>
        <rFont val="Arial"/>
        <family val="0"/>
        <charset val="1"/>
      </rPr>
      <t xml:space="preserve">IOA Stuart 25%</t>
    </r>
    <r>
      <rPr>
        <sz val="10"/>
        <rFont val="WenQuanYi Zen Hei"/>
        <family val="2"/>
      </rPr>
      <t xml:space="preserve">、</t>
    </r>
    <r>
      <rPr>
        <sz val="10"/>
        <rFont val="Arial"/>
        <family val="0"/>
        <charset val="1"/>
      </rPr>
      <t xml:space="preserve">Anthony 30%</t>
    </r>
    <r>
      <rPr>
        <sz val="10"/>
        <rFont val="WenQuanYi Zen Hei"/>
        <family val="2"/>
      </rPr>
      <t xml:space="preserve">，各条件均有，</t>
    </r>
    <r>
      <rPr>
        <sz val="10"/>
        <rFont val="Arial"/>
        <family val="0"/>
        <charset val="1"/>
      </rPr>
      <t xml:space="preserve">κ≥.80</t>
    </r>
  </si>
  <si>
    <t xml:space="preserve">各人基线≥6点、无治疗方向趋势，干预期≥5点</t>
  </si>
  <si>
    <r>
      <rPr>
        <sz val="10"/>
        <rFont val="Arial"/>
        <family val="0"/>
        <charset val="1"/>
      </rPr>
      <t xml:space="preserve">IOA</t>
    </r>
    <r>
      <rPr>
        <sz val="10"/>
        <rFont val="WenQuanYi Zen Hei"/>
        <family val="2"/>
      </rPr>
      <t xml:space="preserve">每阶段≥</t>
    </r>
    <r>
      <rPr>
        <sz val="10"/>
        <rFont val="Arial"/>
        <family val="0"/>
        <charset val="1"/>
      </rPr>
      <t xml:space="preserve">20%</t>
    </r>
    <r>
      <rPr>
        <sz val="10"/>
        <rFont val="WenQuanYi Zen Hei"/>
        <family val="2"/>
      </rPr>
      <t xml:space="preserve">，</t>
    </r>
    <r>
      <rPr>
        <sz val="10"/>
        <rFont val="Arial"/>
        <family val="0"/>
        <charset val="1"/>
      </rPr>
      <t xml:space="preserve">85%</t>
    </r>
  </si>
  <si>
    <r>
      <rPr>
        <sz val="10"/>
        <rFont val="Arial"/>
        <family val="0"/>
        <charset val="1"/>
      </rPr>
      <t xml:space="preserve">Jack</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</si>
  <si>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Jack</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</si>
  <si>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中等(初判；Scott干预期与基线重叠，后又加入"同伴支持+")</t>
  </si>
  <si>
    <r>
      <rPr>
        <sz val="10"/>
        <rFont val="Arial"/>
        <family val="0"/>
        <charset val="1"/>
      </rPr>
      <t xml:space="preserve">IOA 25%</t>
    </r>
    <r>
      <rPr>
        <sz val="10"/>
        <rFont val="WenQuanYi Zen Hei"/>
        <family val="2"/>
      </rPr>
      <t xml:space="preserve">会话、覆盖各阶段，</t>
    </r>
    <r>
      <rPr>
        <sz val="10"/>
        <rFont val="Arial"/>
        <family val="0"/>
        <charset val="1"/>
      </rPr>
      <t xml:space="preserve">93.3%</t>
    </r>
  </si>
  <si>
    <t xml:space="preserve">多基线(4人)：基线→活动日程训练→"说出强化"→游戏对应训练包→"说出强化"</t>
  </si>
  <si>
    <r>
      <rPr>
        <sz val="10"/>
        <rFont val="Arial"/>
        <family val="0"/>
        <charset val="1"/>
      </rPr>
      <t xml:space="preserve">Ned</t>
    </r>
    <r>
      <rPr>
        <sz val="10"/>
        <rFont val="WenQuanYi Zen Hei"/>
        <family val="2"/>
      </rPr>
      <t xml:space="preserve">首个干预期</t>
    </r>
    <r>
      <rPr>
        <sz val="10"/>
        <rFont val="Arial"/>
        <family val="0"/>
        <charset val="1"/>
      </rPr>
      <t xml:space="preserve">(</t>
    </r>
    <r>
      <rPr>
        <sz val="10"/>
        <rFont val="WenQuanYi Zen Hei"/>
        <family val="2"/>
      </rPr>
      <t xml:space="preserve">活动日程训练</t>
    </r>
    <r>
      <rPr>
        <sz val="10"/>
        <rFont val="Arial"/>
        <family val="0"/>
        <charset val="1"/>
      </rPr>
      <t xml:space="preserve">)</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</si>
  <si>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Arial"/>
        <family val="0"/>
        <charset val="1"/>
      </rPr>
      <t xml:space="preserve">Ned</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；首个干预期</t>
    </r>
    <r>
      <rPr>
        <sz val="10"/>
        <rFont val="Arial"/>
        <family val="0"/>
        <charset val="1"/>
      </rPr>
      <t xml:space="preserve">4</t>
    </r>
    <r>
      <rPr>
        <sz val="10"/>
        <rFont val="WenQuanYi Zen Hei"/>
        <family val="2"/>
      </rPr>
      <t xml:space="preserve">点</t>
    </r>
  </si>
  <si>
    <t xml:space="preserve">强(初判，训练期专注行为)</t>
  </si>
  <si>
    <t xml:space="preserve">阶段多、条件不断变化，后续阶段的比较不清晰；IOA专注行为25%会话，96–100%</t>
  </si>
  <si>
    <r>
      <rPr>
        <sz val="10"/>
        <rFont val="Arial"/>
        <family val="0"/>
        <charset val="1"/>
      </rPr>
      <t xml:space="preserve">John</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</si>
  <si>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John</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</si>
  <si>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中等(初判；George第一批同伴训练后无明显效果，第二批后才上升)</t>
  </si>
  <si>
    <r>
      <rPr>
        <sz val="10"/>
        <rFont val="Arial"/>
        <family val="0"/>
        <charset val="1"/>
      </rPr>
      <t xml:space="preserve">IOA 36%(</t>
    </r>
    <r>
      <rPr>
        <sz val="10"/>
        <rFont val="WenQuanYi Zen Hei"/>
        <family val="2"/>
      </rPr>
      <t xml:space="preserve">基线</t>
    </r>
    <r>
      <rPr>
        <sz val="10"/>
        <rFont val="Arial"/>
        <family val="0"/>
        <charset val="1"/>
      </rPr>
      <t xml:space="preserve">22%</t>
    </r>
    <r>
      <rPr>
        <sz val="10"/>
        <rFont val="WenQuanYi Zen Hei"/>
        <family val="2"/>
      </rPr>
      <t xml:space="preserve">、干预</t>
    </r>
    <r>
      <rPr>
        <sz val="10"/>
        <rFont val="Arial"/>
        <family val="0"/>
        <charset val="1"/>
      </rPr>
      <t xml:space="preserve">44%)</t>
    </r>
    <r>
      <rPr>
        <sz val="10"/>
        <rFont val="WenQuanYi Zen Hei"/>
        <family val="2"/>
      </rPr>
      <t xml:space="preserve">，</t>
    </r>
    <r>
      <rPr>
        <sz val="10"/>
        <rFont val="Arial"/>
        <family val="0"/>
        <charset val="1"/>
      </rPr>
      <t xml:space="preserve">81–87%</t>
    </r>
  </si>
  <si>
    <r>
      <rPr>
        <sz val="10"/>
        <rFont val="Arial"/>
        <family val="0"/>
        <charset val="1"/>
      </rPr>
      <t xml:space="preserve">A-B-A-B</t>
    </r>
    <r>
      <rPr>
        <sz val="10"/>
        <rFont val="WenQuanYi Zen Hei"/>
        <family val="2"/>
      </rPr>
      <t xml:space="preserve">撤回设计</t>
    </r>
    <r>
      <rPr>
        <sz val="10"/>
        <rFont val="Arial"/>
        <family val="0"/>
        <charset val="1"/>
      </rPr>
      <t xml:space="preserve">(1</t>
    </r>
    <r>
      <rPr>
        <sz val="10"/>
        <rFont val="WenQuanYi Zen Hei"/>
        <family val="2"/>
      </rPr>
      <t xml:space="preserve">人</t>
    </r>
    <r>
      <rPr>
        <sz val="10"/>
        <rFont val="Arial"/>
        <family val="0"/>
        <charset val="1"/>
      </rPr>
      <t xml:space="preserve">)</t>
    </r>
  </si>
  <si>
    <t xml:space="preserve">首个基线10点、其余各阶段5–6点；基线后3点NAP≈.62(≤.85)；撤回期明显回落</t>
  </si>
  <si>
    <r>
      <rPr>
        <sz val="10"/>
        <rFont val="Arial"/>
        <family val="0"/>
        <charset val="1"/>
      </rPr>
      <t xml:space="preserve">IOA</t>
    </r>
    <r>
      <rPr>
        <sz val="10"/>
        <rFont val="WenQuanYi Zen Hei"/>
        <family val="2"/>
      </rPr>
      <t xml:space="preserve">基线</t>
    </r>
    <r>
      <rPr>
        <sz val="10"/>
        <rFont val="Arial"/>
        <family val="0"/>
        <charset val="1"/>
      </rPr>
      <t xml:space="preserve">100%</t>
    </r>
    <r>
      <rPr>
        <sz val="10"/>
        <rFont val="WenQuanYi Zen Hei"/>
        <family val="2"/>
      </rPr>
      <t xml:space="preserve">、其余各阶段</t>
    </r>
    <r>
      <rPr>
        <sz val="10"/>
        <rFont val="Arial"/>
        <family val="0"/>
        <charset val="1"/>
      </rPr>
      <t xml:space="preserve">20%</t>
    </r>
    <r>
      <rPr>
        <sz val="10"/>
        <rFont val="WenQuanYi Zen Hei"/>
        <family val="2"/>
      </rPr>
      <t xml:space="preserve">，</t>
    </r>
    <r>
      <rPr>
        <sz val="10"/>
        <rFont val="Arial"/>
        <family val="0"/>
        <charset val="1"/>
      </rPr>
      <t xml:space="preserve">91–95%</t>
    </r>
  </si>
  <si>
    <t xml:space="preserve">多基线(3人)：基线→社会故事→社会故事+提示</t>
  </si>
  <si>
    <t xml:space="preserve">各基线≥8点且无治疗方向趋势、干预期≥6点</t>
  </si>
  <si>
    <t xml:space="preserve">无证据(初判；Vito、Michael在社会故事阶段先升后回落到基线水平，只有Santino效果明确，不足3次效果展示)</t>
  </si>
  <si>
    <t xml:space="preserve">设计达标，但效果主要出现在追加"提示"之后；IOA基线20%、干预25%、追踪20%，81–100%</t>
  </si>
  <si>
    <t xml:space="preserve">同时多基线(3人)</t>
  </si>
  <si>
    <r>
      <rPr>
        <sz val="10"/>
        <rFont val="Arial"/>
        <family val="0"/>
        <charset val="1"/>
      </rPr>
      <t xml:space="preserve">Josh</t>
    </r>
    <r>
      <rPr>
        <sz val="10"/>
        <rFont val="WenQuanYi Zen Hei"/>
        <family val="2"/>
      </rPr>
      <t xml:space="preserve">基线</t>
    </r>
    <r>
      <rPr>
        <sz val="10"/>
        <rFont val="Arial"/>
        <family val="0"/>
        <charset val="1"/>
      </rPr>
      <t xml:space="preserve">4</t>
    </r>
    <r>
      <rPr>
        <sz val="10"/>
        <rFont val="WenQuanYi Zen Hei"/>
        <family val="2"/>
      </rPr>
      <t xml:space="preserve">点、干预</t>
    </r>
    <r>
      <rPr>
        <sz val="10"/>
        <rFont val="Arial"/>
        <family val="0"/>
        <charset val="1"/>
      </rPr>
      <t xml:space="preserve">4</t>
    </r>
    <r>
      <rPr>
        <sz val="10"/>
        <rFont val="WenQuanYi Zen Hei"/>
        <family val="2"/>
      </rPr>
      <t xml:space="preserve">点；</t>
    </r>
    <r>
      <rPr>
        <sz val="10"/>
        <rFont val="Arial"/>
        <family val="0"/>
        <charset val="1"/>
      </rPr>
      <t xml:space="preserve">Alex</t>
    </r>
    <r>
      <rPr>
        <sz val="10"/>
        <rFont val="WenQuanYi Zen Hei"/>
        <family val="2"/>
      </rPr>
      <t xml:space="preserve">干预</t>
    </r>
    <r>
      <rPr>
        <sz val="10"/>
        <rFont val="Arial"/>
        <family val="0"/>
        <charset val="1"/>
      </rPr>
      <t xml:space="preserve">3</t>
    </r>
    <r>
      <rPr>
        <sz val="10"/>
        <rFont val="WenQuanYi Zen Hei"/>
        <family val="2"/>
      </rPr>
      <t xml:space="preserve">点；</t>
    </r>
    <r>
      <rPr>
        <sz val="10"/>
        <rFont val="Arial"/>
        <family val="0"/>
        <charset val="1"/>
      </rPr>
      <t xml:space="preserve">Rosalie</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</si>
  <si>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</si>
  <si>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IOA 42%(</t>
    </r>
    <r>
      <rPr>
        <sz val="10"/>
        <rFont val="WenQuanYi Zen Hei"/>
        <family val="2"/>
      </rPr>
      <t xml:space="preserve">基线</t>
    </r>
    <r>
      <rPr>
        <sz val="10"/>
        <rFont val="Arial"/>
        <family val="0"/>
        <charset val="1"/>
      </rPr>
      <t xml:space="preserve">45%</t>
    </r>
    <r>
      <rPr>
        <sz val="10"/>
        <rFont val="WenQuanYi Zen Hei"/>
        <family val="2"/>
      </rPr>
      <t xml:space="preserve">、干预</t>
    </r>
    <r>
      <rPr>
        <sz val="10"/>
        <rFont val="Arial"/>
        <family val="0"/>
        <charset val="1"/>
      </rPr>
      <t xml:space="preserve">36%)</t>
    </r>
    <r>
      <rPr>
        <sz val="10"/>
        <rFont val="WenQuanYi Zen Hei"/>
        <family val="2"/>
      </rPr>
      <t xml:space="preserve">，</t>
    </r>
    <r>
      <rPr>
        <sz val="10"/>
        <rFont val="Arial"/>
        <family val="0"/>
        <charset val="1"/>
      </rPr>
      <t xml:space="preserve">94–98%</t>
    </r>
  </si>
  <si>
    <t xml:space="preserve">整群RCT(按班级随机，148人；ENGAGE 82 vs SKILLS 66)</t>
  </si>
  <si>
    <t xml:space="preserve">高流失：总流失7.4%、差异流失11.2%(ENGAGE 2/82，SKILLS 9/66)，宽松/保守边界下均为高流失；分析样本基线：社交网络显著性0.07 SD、操场同伴投入0.15 SD(需统计调整，3.0接受WWC差中差调整)；操场独处0.34 SD(&gt;0.25)→该结局不达标</t>
  </si>
  <si>
    <t xml:space="preserve">有保留(仅出度指标)</t>
  </si>
  <si>
    <t xml:space="preserve">同为高流失；5.0规定差中差/增益分数调整须满足前后测相关≥.60，原文未报告→社交网络显著性、操场投入不达标；只有出度指标基线差为0(≤0.05，无需调整)可评有保留</t>
  </si>
  <si>
    <r>
      <rPr>
        <sz val="10"/>
        <rFont val="Arial"/>
        <family val="0"/>
        <charset val="1"/>
      </rPr>
      <t xml:space="preserve">5.0</t>
    </r>
    <r>
      <rPr>
        <sz val="10"/>
        <rFont val="WenQuanYi Zen Hei"/>
        <family val="2"/>
      </rPr>
      <t xml:space="preserve">对差中差调整增加前后测相关≥</t>
    </r>
    <r>
      <rPr>
        <sz val="10"/>
        <rFont val="Arial"/>
        <family val="0"/>
        <charset val="1"/>
      </rPr>
      <t xml:space="preserve">.60</t>
    </r>
    <r>
      <rPr>
        <sz val="10"/>
        <rFont val="WenQuanYi Zen Hei"/>
        <family val="2"/>
      </rPr>
      <t xml:space="preserve">的条件</t>
    </r>
  </si>
  <si>
    <t xml:space="preserve">两种干预对比，无未干预对照组</t>
  </si>
  <si>
    <r>
      <rPr>
        <sz val="10"/>
        <rFont val="Arial"/>
        <family val="0"/>
        <charset val="1"/>
      </rPr>
      <t xml:space="preserve">RCT</t>
    </r>
    <r>
      <rPr>
        <sz val="10"/>
        <rFont val="WenQuanYi Zen Hei"/>
        <family val="2"/>
      </rPr>
      <t xml:space="preserve">，</t>
    </r>
    <r>
      <rPr>
        <sz val="10"/>
        <rFont val="Arial"/>
        <family val="0"/>
        <charset val="1"/>
      </rPr>
      <t xml:space="preserve">2×2</t>
    </r>
    <r>
      <rPr>
        <sz val="10"/>
        <rFont val="WenQuanYi Zen Hei"/>
        <family val="2"/>
      </rPr>
      <t xml:space="preserve">析因</t>
    </r>
    <r>
      <rPr>
        <sz val="10"/>
        <rFont val="Arial"/>
        <family val="0"/>
        <charset val="1"/>
      </rPr>
      <t xml:space="preserve">(60</t>
    </r>
    <r>
      <rPr>
        <sz val="10"/>
        <rFont val="WenQuanYi Zen Hei"/>
        <family val="2"/>
      </rPr>
      <t xml:space="preserve">人；同伴介导</t>
    </r>
    <r>
      <rPr>
        <sz val="10"/>
        <rFont val="Arial"/>
        <family val="0"/>
        <charset val="1"/>
      </rPr>
      <t xml:space="preserve">×</t>
    </r>
    <r>
      <rPr>
        <sz val="10"/>
        <rFont val="WenQuanYi Zen Hei"/>
        <family val="2"/>
      </rPr>
      <t xml:space="preserve">儿童介导，含仅融合对照组</t>
    </r>
    <r>
      <rPr>
        <sz val="10"/>
        <rFont val="Arial"/>
        <family val="0"/>
        <charset val="1"/>
      </rPr>
      <t xml:space="preserve">)</t>
    </r>
  </si>
  <si>
    <r>
      <rPr>
        <sz val="10"/>
        <rFont val="Arial"/>
        <family val="0"/>
        <charset val="1"/>
      </rPr>
      <t xml:space="preserve">—(</t>
    </r>
    <r>
      <rPr>
        <sz val="10"/>
        <rFont val="WenQuanYi Zen Hei"/>
        <family val="2"/>
      </rPr>
      <t xml:space="preserve">随机</t>
    </r>
    <r>
      <rPr>
        <sz val="10"/>
        <rFont val="Arial"/>
        <family val="0"/>
        <charset val="1"/>
      </rPr>
      <t xml:space="preserve">60</t>
    </r>
    <r>
      <rPr>
        <sz val="10"/>
        <rFont val="WenQuanYi Zen Hei"/>
        <family val="2"/>
      </rPr>
      <t xml:space="preserve">人，分析</t>
    </r>
    <r>
      <rPr>
        <sz val="10"/>
        <rFont val="Arial"/>
        <family val="0"/>
        <charset val="1"/>
      </rPr>
      <t xml:space="preserve">60</t>
    </r>
    <r>
      <rPr>
        <sz val="10"/>
        <rFont val="WenQuanYi Zen Hei"/>
        <family val="2"/>
      </rPr>
      <t xml:space="preserve">人，无流失</t>
    </r>
    <r>
      <rPr>
        <sz val="10"/>
        <rFont val="Arial"/>
        <family val="0"/>
        <charset val="1"/>
      </rPr>
      <t xml:space="preserve">)</t>
    </r>
  </si>
  <si>
    <t xml:space="preserve">按班级区组随机，56个班中52个只有1名ASD儿童，按个体分析；性别分布不均已作为协变量</t>
  </si>
  <si>
    <t xml:space="preserve">整群RCT(4所学校配对随机，24人；立即干预13 vs 候补11)</t>
  </si>
  <si>
    <t xml:space="preserve">无缺失数据；入组时同伴投入差约0.06 SD</t>
  </si>
  <si>
    <t xml:space="preserve">无流失；每组2所学校，不构成"n=1"混淆</t>
  </si>
  <si>
    <t xml:space="preserve">需核对：儿童是否在学校随机分组前入组。若之后入组，5.0要求证明基线等同，0.06 SD需调整且须满足r≥.60，可能降级</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</si>
</sst>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3"/>
      <name val="WenQuanYi Zen Hei"/>
      <family val="2"/>
    </font>
    <font>
      <b val="true"/>
      <sz val="13"/>
      <name val="Arial"/>
      <family val="0"/>
      <charset val="1"/>
    </font>
    <font>
      <b val="true"/>
      <sz val="10"/>
      <color rgb="FFFFFFFF"/>
      <name val="Arial"/>
      <family val="0"/>
      <charset val="1"/>
    </font>
    <font>
      <b val="true"/>
      <sz val="10"/>
      <color rgb="FFFFFFFF"/>
      <name val="WenQuanYi Zen Hei"/>
      <family val="2"/>
    </font>
    <font>
      <sz val="10"/>
      <name val="WenQuanYi Zen Hei"/>
      <family val="2"/>
    </font>
    <font>
      <sz val="10"/>
      <name val="Arial"/>
      <family val="0"/>
      <charset val="1"/>
    </font>
    <font>
      <b val="true"/>
      <sz val="10"/>
      <name val="WenQuanYi Zen Hei"/>
      <family val="2"/>
    </font>
    <font>
      <b val="true"/>
      <sz val="10"/>
      <name val="Arial"/>
      <family val="0"/>
      <charset val="1"/>
    </font>
    <font>
      <sz val="10"/>
      <name val="WenQuanYi Zen Hei"/>
      <family val="2"/>
      <charset val="1"/>
    </font>
    <font>
      <b val="true"/>
      <sz val="10"/>
      <name val="WenQuanYi Zen Hei"/>
      <family val="2"/>
      <charset val="1"/>
    </font>
    <font>
      <b val="true"/>
      <sz val="10"/>
      <color rgb="FFFFFFFF"/>
      <name val="WenQuanYi Zen Hei"/>
      <family val="2"/>
      <charset val="1"/>
    </font>
    <font>
      <b val="true"/>
      <sz val="13"/>
      <name val="WenQuanYi Zen Hei"/>
      <family val="2"/>
      <charset val="1"/>
    </font>
  </fonts>
  <fills count="7">
    <fill>
      <patternFill patternType="none"/>
    </fill>
    <fill>
      <patternFill patternType="gray125"/>
    </fill>
    <fill>
      <patternFill patternType="solid">
        <fgColor rgb="FF305496"/>
        <bgColor rgb="FF666699"/>
      </patternFill>
    </fill>
    <fill>
      <patternFill patternType="solid">
        <fgColor rgb="FFE2EFDA"/>
        <bgColor rgb="FFFCE4D6"/>
      </patternFill>
    </fill>
    <fill>
      <patternFill patternType="solid">
        <fgColor rgb="FFF8CBAD"/>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top" textRotation="0" wrapText="true" indent="0" shrinkToFit="false"/>
      <protection locked="true" hidden="false"/>
    </xf>
    <xf numFmtId="164" fontId="7" fillId="2" borderId="0" xfId="0" applyFont="true" applyBorder="false" applyAlignment="true" applyProtection="false">
      <alignment horizontal="center"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center" vertical="top" textRotation="0" wrapText="true" indent="0" shrinkToFit="false"/>
      <protection locked="true" hidden="false"/>
    </xf>
    <xf numFmtId="165" fontId="11" fillId="0" borderId="0" xfId="0" applyFont="true" applyBorder="false" applyAlignment="true" applyProtection="false">
      <alignment horizontal="center"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4" fillId="2"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70"/>
    <col collapsed="false" customWidth="true" hidden="false" outlineLevel="0" max="7" min="7" style="0" width="2"/>
  </cols>
  <sheetData>
    <row r="1" customFormat="false" ht="17.15" hidden="false" customHeight="false" outlineLevel="0" collapsed="false">
      <c r="A1" s="1" t="s">
        <v>0</v>
      </c>
    </row>
    <row r="3" customFormat="false" ht="15" hidden="false" customHeight="false" outlineLevel="0" collapsed="false">
      <c r="B3" s="2"/>
      <c r="C3" s="3" t="s">
        <v>1</v>
      </c>
      <c r="D3" s="3" t="s">
        <v>2</v>
      </c>
      <c r="E3" s="3" t="s">
        <v>3</v>
      </c>
    </row>
    <row r="4" customFormat="false" ht="15" hidden="false" customHeight="false" outlineLevel="0" collapsed="false">
      <c r="B4" s="4" t="s">
        <v>4</v>
      </c>
      <c r="C4" s="5" t="n">
        <f aca="false">COUNTIFS($A$12:$A$93,"母本",$B$12:$B$93,"单一被试",$E$12:$E$93,"纳入")</f>
        <v>21</v>
      </c>
      <c r="D4" s="5" t="n">
        <f aca="false">COUNTIFS($A$12:$A$93,"母本",$B$12:$B$93,"组间设计",$E$12:$E$93,"纳入")</f>
        <v>1</v>
      </c>
      <c r="E4" s="5" t="n">
        <f aca="false">C4+D4</f>
        <v>22</v>
      </c>
    </row>
    <row r="5" customFormat="false" ht="15" hidden="false" customHeight="false" outlineLevel="0" collapsed="false">
      <c r="B5" s="4" t="s">
        <v>5</v>
      </c>
      <c r="C5" s="5" t="n">
        <f aca="false">COUNTIFS($A$12:$A$93,"新检索",$B$12:$B$93,"单一被试",$E$12:$E$93,"纳入")</f>
        <v>33</v>
      </c>
      <c r="D5" s="5" t="n">
        <f aca="false">COUNTIFS($A$12:$A$93,"新检索",$B$12:$B$93,"组间设计",$E$12:$E$93,"纳入")</f>
        <v>3</v>
      </c>
      <c r="E5" s="5" t="n">
        <f aca="false">C5+D5</f>
        <v>36</v>
      </c>
    </row>
    <row r="6" customFormat="false" ht="15" hidden="false" customHeight="false" outlineLevel="0" collapsed="false">
      <c r="B6" s="4" t="s">
        <v>6</v>
      </c>
      <c r="C6" s="5" t="n">
        <f aca="false">COUNTIFS($A$12:$A$93,"中文",$B$12:$B$93,"单一被试",$E$12:$E$93,"纳入")</f>
        <v>2</v>
      </c>
      <c r="D6" s="5" t="n">
        <f aca="false">COUNTIFS($A$12:$A$93,"中文",$B$12:$B$93,"组间设计",$E$12:$E$93,"纳入")</f>
        <v>1</v>
      </c>
      <c r="E6" s="5" t="n">
        <f aca="false">C6+D6</f>
        <v>3</v>
      </c>
    </row>
    <row r="7" customFormat="false" ht="15" hidden="false" customHeight="false" outlineLevel="0" collapsed="false">
      <c r="B7" s="6" t="s">
        <v>7</v>
      </c>
      <c r="C7" s="7" t="n">
        <f aca="false">SUM(C4:C6)</f>
        <v>56</v>
      </c>
      <c r="D7" s="7" t="n">
        <f aca="false">SUM(D4:D6)</f>
        <v>5</v>
      </c>
      <c r="E7" s="7" t="n">
        <f aca="false">SUM(E4:E6)</f>
        <v>61</v>
      </c>
    </row>
    <row r="8" customFormat="false" ht="15" hidden="false" customHeight="false" outlineLevel="0" collapsed="false">
      <c r="B8" s="4" t="s">
        <v>8</v>
      </c>
      <c r="C8" s="5" t="n">
        <f aca="false">COUNTIFS($B$12:$B$93,"单一被试",$E$12:$E$93,"排除")</f>
        <v>14</v>
      </c>
      <c r="D8" s="5" t="n">
        <f aca="false">COUNTIFS($B$12:$B$93,"组间设计",$E$12:$E$93,"排除")</f>
        <v>7</v>
      </c>
      <c r="E8" s="5" t="n">
        <f aca="false">C8+D8</f>
        <v>21</v>
      </c>
    </row>
    <row r="9" customFormat="false" ht="15" hidden="false" customHeight="false" outlineLevel="0" collapsed="false">
      <c r="B9" s="4" t="s">
        <v>9</v>
      </c>
      <c r="C9" s="5" t="n">
        <f aca="false">C7+C8</f>
        <v>70</v>
      </c>
      <c r="D9" s="5" t="n">
        <f aca="false">D7+D8</f>
        <v>12</v>
      </c>
      <c r="E9" s="5" t="n">
        <f aca="false">E7+E8</f>
        <v>82</v>
      </c>
    </row>
    <row r="11" customFormat="false" ht="15" hidden="false" customHeight="false" outlineLevel="0" collapsed="false">
      <c r="A11" s="8" t="s">
        <v>10</v>
      </c>
      <c r="B11" s="8" t="s">
        <v>11</v>
      </c>
      <c r="C11" s="8" t="s">
        <v>12</v>
      </c>
      <c r="D11" s="9" t="s">
        <v>13</v>
      </c>
      <c r="E11" s="8" t="s">
        <v>14</v>
      </c>
      <c r="F11" s="8" t="s">
        <v>15</v>
      </c>
    </row>
    <row r="12" customFormat="false" ht="15" hidden="false" customHeight="false" outlineLevel="0" collapsed="false">
      <c r="A12" s="10" t="s">
        <v>16</v>
      </c>
      <c r="B12" s="10" t="s">
        <v>1</v>
      </c>
      <c r="C12" s="11" t="s">
        <v>17</v>
      </c>
      <c r="D12" s="10" t="s">
        <v>18</v>
      </c>
      <c r="E12" s="12" t="s">
        <v>19</v>
      </c>
      <c r="F12" s="11" t="s">
        <v>20</v>
      </c>
    </row>
    <row r="13" customFormat="false" ht="15" hidden="false" customHeight="false" outlineLevel="0" collapsed="false">
      <c r="A13" s="10" t="s">
        <v>16</v>
      </c>
      <c r="B13" s="10" t="s">
        <v>1</v>
      </c>
      <c r="C13" s="11" t="s">
        <v>21</v>
      </c>
      <c r="D13" s="10" t="s">
        <v>18</v>
      </c>
      <c r="E13" s="12" t="s">
        <v>19</v>
      </c>
      <c r="F13" s="11" t="s">
        <v>20</v>
      </c>
    </row>
    <row r="14" customFormat="false" ht="15" hidden="false" customHeight="false" outlineLevel="0" collapsed="false">
      <c r="A14" s="10" t="s">
        <v>16</v>
      </c>
      <c r="B14" s="10" t="s">
        <v>1</v>
      </c>
      <c r="C14" s="11" t="s">
        <v>22</v>
      </c>
      <c r="D14" s="10" t="s">
        <v>18</v>
      </c>
      <c r="E14" s="12" t="s">
        <v>19</v>
      </c>
      <c r="F14" s="11" t="s">
        <v>20</v>
      </c>
    </row>
    <row r="15" customFormat="false" ht="15" hidden="false" customHeight="false" outlineLevel="0" collapsed="false">
      <c r="A15" s="10" t="s">
        <v>16</v>
      </c>
      <c r="B15" s="10" t="s">
        <v>1</v>
      </c>
      <c r="C15" s="11" t="s">
        <v>23</v>
      </c>
      <c r="D15" s="10" t="s">
        <v>18</v>
      </c>
      <c r="E15" s="12" t="s">
        <v>19</v>
      </c>
      <c r="F15" s="11" t="s">
        <v>20</v>
      </c>
    </row>
    <row r="16" customFormat="false" ht="15" hidden="false" customHeight="false" outlineLevel="0" collapsed="false">
      <c r="A16" s="10" t="s">
        <v>16</v>
      </c>
      <c r="B16" s="10" t="s">
        <v>1</v>
      </c>
      <c r="C16" s="11" t="s">
        <v>24</v>
      </c>
      <c r="D16" s="10" t="s">
        <v>18</v>
      </c>
      <c r="E16" s="12" t="s">
        <v>19</v>
      </c>
      <c r="F16" s="11" t="s">
        <v>20</v>
      </c>
    </row>
    <row r="17" customFormat="false" ht="15" hidden="false" customHeight="false" outlineLevel="0" collapsed="false">
      <c r="A17" s="10" t="s">
        <v>16</v>
      </c>
      <c r="B17" s="10" t="s">
        <v>1</v>
      </c>
      <c r="C17" s="11" t="s">
        <v>25</v>
      </c>
      <c r="D17" s="10" t="s">
        <v>26</v>
      </c>
      <c r="E17" s="12" t="s">
        <v>19</v>
      </c>
      <c r="F17" s="11" t="s">
        <v>20</v>
      </c>
    </row>
    <row r="18" customFormat="false" ht="15" hidden="false" customHeight="false" outlineLevel="0" collapsed="false">
      <c r="A18" s="10" t="s">
        <v>16</v>
      </c>
      <c r="B18" s="10" t="s">
        <v>1</v>
      </c>
      <c r="C18" s="11" t="s">
        <v>27</v>
      </c>
      <c r="D18" s="10" t="s">
        <v>18</v>
      </c>
      <c r="E18" s="12" t="s">
        <v>19</v>
      </c>
      <c r="F18" s="11" t="s">
        <v>20</v>
      </c>
    </row>
    <row r="19" customFormat="false" ht="15" hidden="false" customHeight="false" outlineLevel="0" collapsed="false">
      <c r="A19" s="10" t="s">
        <v>16</v>
      </c>
      <c r="B19" s="10" t="s">
        <v>1</v>
      </c>
      <c r="C19" s="11" t="s">
        <v>28</v>
      </c>
      <c r="D19" s="10" t="s">
        <v>18</v>
      </c>
      <c r="E19" s="12" t="s">
        <v>19</v>
      </c>
      <c r="F19" s="11" t="s">
        <v>20</v>
      </c>
    </row>
    <row r="20" customFormat="false" ht="15" hidden="false" customHeight="false" outlineLevel="0" collapsed="false">
      <c r="A20" s="10" t="s">
        <v>16</v>
      </c>
      <c r="B20" s="10" t="s">
        <v>1</v>
      </c>
      <c r="C20" s="11" t="s">
        <v>29</v>
      </c>
      <c r="D20" s="10" t="s">
        <v>26</v>
      </c>
      <c r="E20" s="12" t="s">
        <v>19</v>
      </c>
      <c r="F20" s="11" t="s">
        <v>20</v>
      </c>
    </row>
    <row r="21" customFormat="false" ht="15" hidden="false" customHeight="false" outlineLevel="0" collapsed="false">
      <c r="A21" s="10" t="s">
        <v>16</v>
      </c>
      <c r="B21" s="10" t="s">
        <v>1</v>
      </c>
      <c r="C21" s="11" t="s">
        <v>30</v>
      </c>
      <c r="D21" s="10" t="s">
        <v>18</v>
      </c>
      <c r="E21" s="12" t="s">
        <v>19</v>
      </c>
      <c r="F21" s="11" t="s">
        <v>20</v>
      </c>
    </row>
    <row r="22" customFormat="false" ht="15" hidden="false" customHeight="false" outlineLevel="0" collapsed="false">
      <c r="A22" s="10" t="s">
        <v>16</v>
      </c>
      <c r="B22" s="10" t="s">
        <v>1</v>
      </c>
      <c r="C22" s="11" t="s">
        <v>31</v>
      </c>
      <c r="D22" s="10" t="s">
        <v>26</v>
      </c>
      <c r="E22" s="12" t="s">
        <v>19</v>
      </c>
      <c r="F22" s="11" t="s">
        <v>20</v>
      </c>
    </row>
    <row r="23" customFormat="false" ht="15" hidden="false" customHeight="false" outlineLevel="0" collapsed="false">
      <c r="A23" s="10" t="s">
        <v>16</v>
      </c>
      <c r="B23" s="10" t="s">
        <v>1</v>
      </c>
      <c r="C23" s="11" t="s">
        <v>32</v>
      </c>
      <c r="D23" s="10" t="s">
        <v>18</v>
      </c>
      <c r="E23" s="12" t="s">
        <v>19</v>
      </c>
      <c r="F23" s="11" t="s">
        <v>20</v>
      </c>
    </row>
    <row r="24" customFormat="false" ht="15" hidden="false" customHeight="false" outlineLevel="0" collapsed="false">
      <c r="A24" s="10" t="s">
        <v>16</v>
      </c>
      <c r="B24" s="10" t="s">
        <v>1</v>
      </c>
      <c r="C24" s="11" t="s">
        <v>33</v>
      </c>
      <c r="D24" s="10" t="s">
        <v>26</v>
      </c>
      <c r="E24" s="12" t="s">
        <v>19</v>
      </c>
      <c r="F24" s="11" t="s">
        <v>20</v>
      </c>
    </row>
    <row r="25" customFormat="false" ht="15" hidden="false" customHeight="false" outlineLevel="0" collapsed="false">
      <c r="A25" s="10" t="s">
        <v>16</v>
      </c>
      <c r="B25" s="10" t="s">
        <v>1</v>
      </c>
      <c r="C25" s="11" t="s">
        <v>34</v>
      </c>
      <c r="D25" s="10" t="s">
        <v>18</v>
      </c>
      <c r="E25" s="12" t="s">
        <v>19</v>
      </c>
      <c r="F25" s="11" t="s">
        <v>20</v>
      </c>
    </row>
    <row r="26" customFormat="false" ht="15" hidden="false" customHeight="false" outlineLevel="0" collapsed="false">
      <c r="A26" s="10" t="s">
        <v>16</v>
      </c>
      <c r="B26" s="10" t="s">
        <v>1</v>
      </c>
      <c r="C26" s="11" t="s">
        <v>35</v>
      </c>
      <c r="D26" s="10" t="s">
        <v>18</v>
      </c>
      <c r="E26" s="12" t="s">
        <v>19</v>
      </c>
      <c r="F26" s="11" t="s">
        <v>20</v>
      </c>
    </row>
    <row r="27" customFormat="false" ht="15" hidden="false" customHeight="false" outlineLevel="0" collapsed="false">
      <c r="A27" s="10" t="s">
        <v>16</v>
      </c>
      <c r="B27" s="10" t="s">
        <v>1</v>
      </c>
      <c r="C27" s="11" t="s">
        <v>36</v>
      </c>
      <c r="D27" s="10" t="s">
        <v>26</v>
      </c>
      <c r="E27" s="12" t="s">
        <v>19</v>
      </c>
      <c r="F27" s="11" t="s">
        <v>20</v>
      </c>
    </row>
    <row r="28" customFormat="false" ht="15" hidden="false" customHeight="false" outlineLevel="0" collapsed="false">
      <c r="A28" s="10" t="s">
        <v>16</v>
      </c>
      <c r="B28" s="10" t="s">
        <v>1</v>
      </c>
      <c r="C28" s="11" t="s">
        <v>37</v>
      </c>
      <c r="D28" s="10" t="s">
        <v>18</v>
      </c>
      <c r="E28" s="12" t="s">
        <v>19</v>
      </c>
      <c r="F28" s="11" t="s">
        <v>20</v>
      </c>
    </row>
    <row r="29" customFormat="false" ht="15" hidden="false" customHeight="false" outlineLevel="0" collapsed="false">
      <c r="A29" s="10" t="s">
        <v>16</v>
      </c>
      <c r="B29" s="10" t="s">
        <v>1</v>
      </c>
      <c r="C29" s="11" t="s">
        <v>38</v>
      </c>
      <c r="D29" s="10" t="s">
        <v>18</v>
      </c>
      <c r="E29" s="12" t="s">
        <v>19</v>
      </c>
      <c r="F29" s="11" t="s">
        <v>20</v>
      </c>
    </row>
    <row r="30" customFormat="false" ht="15" hidden="false" customHeight="false" outlineLevel="0" collapsed="false">
      <c r="A30" s="10" t="s">
        <v>16</v>
      </c>
      <c r="B30" s="10" t="s">
        <v>1</v>
      </c>
      <c r="C30" s="11" t="s">
        <v>39</v>
      </c>
      <c r="D30" s="10" t="s">
        <v>18</v>
      </c>
      <c r="E30" s="12" t="s">
        <v>19</v>
      </c>
      <c r="F30" s="11" t="s">
        <v>20</v>
      </c>
    </row>
    <row r="31" customFormat="false" ht="15" hidden="false" customHeight="false" outlineLevel="0" collapsed="false">
      <c r="A31" s="10" t="s">
        <v>16</v>
      </c>
      <c r="B31" s="10" t="s">
        <v>1</v>
      </c>
      <c r="C31" s="11" t="s">
        <v>40</v>
      </c>
      <c r="D31" s="10" t="s">
        <v>26</v>
      </c>
      <c r="E31" s="12" t="s">
        <v>19</v>
      </c>
      <c r="F31" s="11" t="s">
        <v>20</v>
      </c>
    </row>
    <row r="32" customFormat="false" ht="15" hidden="false" customHeight="false" outlineLevel="0" collapsed="false">
      <c r="A32" s="10" t="s">
        <v>16</v>
      </c>
      <c r="B32" s="10" t="s">
        <v>1</v>
      </c>
      <c r="C32" s="11" t="s">
        <v>41</v>
      </c>
      <c r="D32" s="10" t="s">
        <v>26</v>
      </c>
      <c r="E32" s="12" t="s">
        <v>19</v>
      </c>
      <c r="F32" s="11" t="s">
        <v>20</v>
      </c>
    </row>
    <row r="33" customFormat="false" ht="26.85" hidden="false" customHeight="false" outlineLevel="0" collapsed="false">
      <c r="A33" s="10" t="s">
        <v>42</v>
      </c>
      <c r="B33" s="10" t="s">
        <v>1</v>
      </c>
      <c r="C33" s="11" t="s">
        <v>43</v>
      </c>
      <c r="D33" s="10" t="s">
        <v>18</v>
      </c>
      <c r="E33" s="12" t="s">
        <v>19</v>
      </c>
      <c r="F33" s="11" t="s">
        <v>20</v>
      </c>
    </row>
    <row r="34" customFormat="false" ht="15" hidden="false" customHeight="false" outlineLevel="0" collapsed="false">
      <c r="A34" s="10" t="s">
        <v>42</v>
      </c>
      <c r="B34" s="10" t="s">
        <v>1</v>
      </c>
      <c r="C34" s="11" t="s">
        <v>44</v>
      </c>
      <c r="D34" s="10" t="s">
        <v>18</v>
      </c>
      <c r="E34" s="12" t="s">
        <v>19</v>
      </c>
      <c r="F34" s="11" t="s">
        <v>20</v>
      </c>
    </row>
    <row r="35" customFormat="false" ht="26.85" hidden="false" customHeight="false" outlineLevel="0" collapsed="false">
      <c r="A35" s="10" t="s">
        <v>42</v>
      </c>
      <c r="B35" s="10" t="s">
        <v>1</v>
      </c>
      <c r="C35" s="11" t="s">
        <v>45</v>
      </c>
      <c r="D35" s="10" t="s">
        <v>18</v>
      </c>
      <c r="E35" s="12" t="s">
        <v>19</v>
      </c>
      <c r="F35" s="11" t="s">
        <v>20</v>
      </c>
    </row>
    <row r="36" customFormat="false" ht="26.85" hidden="false" customHeight="false" outlineLevel="0" collapsed="false">
      <c r="A36" s="10" t="s">
        <v>42</v>
      </c>
      <c r="B36" s="10" t="s">
        <v>1</v>
      </c>
      <c r="C36" s="11" t="s">
        <v>46</v>
      </c>
      <c r="D36" s="10" t="s">
        <v>18</v>
      </c>
      <c r="E36" s="12" t="s">
        <v>19</v>
      </c>
      <c r="F36" s="11" t="s">
        <v>20</v>
      </c>
    </row>
    <row r="37" customFormat="false" ht="15" hidden="false" customHeight="false" outlineLevel="0" collapsed="false">
      <c r="A37" s="10" t="s">
        <v>42</v>
      </c>
      <c r="B37" s="10" t="s">
        <v>1</v>
      </c>
      <c r="C37" s="11" t="s">
        <v>47</v>
      </c>
      <c r="D37" s="10" t="s">
        <v>18</v>
      </c>
      <c r="E37" s="12" t="s">
        <v>19</v>
      </c>
      <c r="F37" s="11" t="s">
        <v>20</v>
      </c>
    </row>
    <row r="38" customFormat="false" ht="26.85" hidden="false" customHeight="false" outlineLevel="0" collapsed="false">
      <c r="A38" s="10" t="s">
        <v>42</v>
      </c>
      <c r="B38" s="10" t="s">
        <v>1</v>
      </c>
      <c r="C38" s="11" t="s">
        <v>48</v>
      </c>
      <c r="D38" s="10" t="s">
        <v>18</v>
      </c>
      <c r="E38" s="12" t="s">
        <v>19</v>
      </c>
      <c r="F38" s="11" t="s">
        <v>20</v>
      </c>
    </row>
    <row r="39" customFormat="false" ht="26.85" hidden="false" customHeight="false" outlineLevel="0" collapsed="false">
      <c r="A39" s="10" t="s">
        <v>42</v>
      </c>
      <c r="B39" s="10" t="s">
        <v>1</v>
      </c>
      <c r="C39" s="11" t="s">
        <v>49</v>
      </c>
      <c r="D39" s="10" t="s">
        <v>26</v>
      </c>
      <c r="E39" s="12" t="s">
        <v>19</v>
      </c>
      <c r="F39" s="11" t="s">
        <v>20</v>
      </c>
    </row>
    <row r="40" customFormat="false" ht="15" hidden="false" customHeight="false" outlineLevel="0" collapsed="false">
      <c r="A40" s="10" t="s">
        <v>42</v>
      </c>
      <c r="B40" s="10" t="s">
        <v>1</v>
      </c>
      <c r="C40" s="11" t="s">
        <v>50</v>
      </c>
      <c r="D40" s="10" t="s">
        <v>18</v>
      </c>
      <c r="E40" s="12" t="s">
        <v>19</v>
      </c>
      <c r="F40" s="11" t="s">
        <v>20</v>
      </c>
    </row>
    <row r="41" customFormat="false" ht="26.85" hidden="false" customHeight="false" outlineLevel="0" collapsed="false">
      <c r="A41" s="10" t="s">
        <v>42</v>
      </c>
      <c r="B41" s="10" t="s">
        <v>1</v>
      </c>
      <c r="C41" s="11" t="s">
        <v>51</v>
      </c>
      <c r="D41" s="10" t="s">
        <v>18</v>
      </c>
      <c r="E41" s="12" t="s">
        <v>19</v>
      </c>
      <c r="F41" s="11" t="s">
        <v>20</v>
      </c>
    </row>
    <row r="42" customFormat="false" ht="26.85" hidden="false" customHeight="false" outlineLevel="0" collapsed="false">
      <c r="A42" s="10" t="s">
        <v>42</v>
      </c>
      <c r="B42" s="10" t="s">
        <v>1</v>
      </c>
      <c r="C42" s="11" t="s">
        <v>52</v>
      </c>
      <c r="D42" s="10" t="s">
        <v>18</v>
      </c>
      <c r="E42" s="12" t="s">
        <v>19</v>
      </c>
      <c r="F42" s="11" t="s">
        <v>20</v>
      </c>
    </row>
    <row r="43" customFormat="false" ht="26.85" hidden="false" customHeight="false" outlineLevel="0" collapsed="false">
      <c r="A43" s="10" t="s">
        <v>42</v>
      </c>
      <c r="B43" s="10" t="s">
        <v>1</v>
      </c>
      <c r="C43" s="11" t="s">
        <v>53</v>
      </c>
      <c r="D43" s="10" t="s">
        <v>18</v>
      </c>
      <c r="E43" s="12" t="s">
        <v>19</v>
      </c>
      <c r="F43" s="11" t="s">
        <v>20</v>
      </c>
    </row>
    <row r="44" customFormat="false" ht="26.85" hidden="false" customHeight="false" outlineLevel="0" collapsed="false">
      <c r="A44" s="10" t="s">
        <v>42</v>
      </c>
      <c r="B44" s="10" t="s">
        <v>1</v>
      </c>
      <c r="C44" s="11" t="s">
        <v>54</v>
      </c>
      <c r="D44" s="10" t="s">
        <v>18</v>
      </c>
      <c r="E44" s="12" t="s">
        <v>19</v>
      </c>
      <c r="F44" s="11" t="s">
        <v>20</v>
      </c>
    </row>
    <row r="45" customFormat="false" ht="26.85" hidden="false" customHeight="false" outlineLevel="0" collapsed="false">
      <c r="A45" s="10" t="s">
        <v>42</v>
      </c>
      <c r="B45" s="10" t="s">
        <v>1</v>
      </c>
      <c r="C45" s="11" t="s">
        <v>55</v>
      </c>
      <c r="D45" s="10" t="s">
        <v>18</v>
      </c>
      <c r="E45" s="12" t="s">
        <v>19</v>
      </c>
      <c r="F45" s="11" t="s">
        <v>20</v>
      </c>
    </row>
    <row r="46" customFormat="false" ht="15" hidden="false" customHeight="false" outlineLevel="0" collapsed="false">
      <c r="A46" s="10" t="s">
        <v>42</v>
      </c>
      <c r="B46" s="10" t="s">
        <v>1</v>
      </c>
      <c r="C46" s="11" t="s">
        <v>56</v>
      </c>
      <c r="D46" s="10" t="s">
        <v>18</v>
      </c>
      <c r="E46" s="12" t="s">
        <v>19</v>
      </c>
      <c r="F46" s="11" t="s">
        <v>20</v>
      </c>
    </row>
    <row r="47" customFormat="false" ht="26.85" hidden="false" customHeight="false" outlineLevel="0" collapsed="false">
      <c r="A47" s="10" t="s">
        <v>42</v>
      </c>
      <c r="B47" s="10" t="s">
        <v>1</v>
      </c>
      <c r="C47" s="11" t="s">
        <v>57</v>
      </c>
      <c r="D47" s="10" t="s">
        <v>18</v>
      </c>
      <c r="E47" s="12" t="s">
        <v>19</v>
      </c>
      <c r="F47" s="11" t="s">
        <v>20</v>
      </c>
    </row>
    <row r="48" customFormat="false" ht="15" hidden="false" customHeight="false" outlineLevel="0" collapsed="false">
      <c r="A48" s="10" t="s">
        <v>42</v>
      </c>
      <c r="B48" s="10" t="s">
        <v>1</v>
      </c>
      <c r="C48" s="11" t="s">
        <v>58</v>
      </c>
      <c r="D48" s="10" t="s">
        <v>18</v>
      </c>
      <c r="E48" s="12" t="s">
        <v>19</v>
      </c>
      <c r="F48" s="11" t="s">
        <v>20</v>
      </c>
    </row>
    <row r="49" customFormat="false" ht="26.85" hidden="false" customHeight="false" outlineLevel="0" collapsed="false">
      <c r="A49" s="10" t="s">
        <v>42</v>
      </c>
      <c r="B49" s="10" t="s">
        <v>1</v>
      </c>
      <c r="C49" s="11" t="s">
        <v>59</v>
      </c>
      <c r="D49" s="10" t="s">
        <v>18</v>
      </c>
      <c r="E49" s="12" t="s">
        <v>19</v>
      </c>
      <c r="F49" s="11" t="s">
        <v>20</v>
      </c>
    </row>
    <row r="50" customFormat="false" ht="26.85" hidden="false" customHeight="false" outlineLevel="0" collapsed="false">
      <c r="A50" s="10" t="s">
        <v>42</v>
      </c>
      <c r="B50" s="10" t="s">
        <v>1</v>
      </c>
      <c r="C50" s="11" t="s">
        <v>60</v>
      </c>
      <c r="D50" s="10" t="s">
        <v>18</v>
      </c>
      <c r="E50" s="12" t="s">
        <v>19</v>
      </c>
      <c r="F50" s="11" t="s">
        <v>20</v>
      </c>
    </row>
    <row r="51" customFormat="false" ht="26.85" hidden="false" customHeight="false" outlineLevel="0" collapsed="false">
      <c r="A51" s="10" t="s">
        <v>42</v>
      </c>
      <c r="B51" s="10" t="s">
        <v>1</v>
      </c>
      <c r="C51" s="11" t="s">
        <v>61</v>
      </c>
      <c r="D51" s="10" t="s">
        <v>18</v>
      </c>
      <c r="E51" s="12" t="s">
        <v>19</v>
      </c>
      <c r="F51" s="11" t="s">
        <v>20</v>
      </c>
    </row>
    <row r="52" customFormat="false" ht="26.85" hidden="false" customHeight="false" outlineLevel="0" collapsed="false">
      <c r="A52" s="10" t="s">
        <v>42</v>
      </c>
      <c r="B52" s="10" t="s">
        <v>1</v>
      </c>
      <c r="C52" s="11" t="s">
        <v>62</v>
      </c>
      <c r="D52" s="10" t="s">
        <v>18</v>
      </c>
      <c r="E52" s="12" t="s">
        <v>19</v>
      </c>
      <c r="F52" s="11" t="s">
        <v>20</v>
      </c>
    </row>
    <row r="53" customFormat="false" ht="26.85" hidden="false" customHeight="false" outlineLevel="0" collapsed="false">
      <c r="A53" s="10" t="s">
        <v>42</v>
      </c>
      <c r="B53" s="10" t="s">
        <v>1</v>
      </c>
      <c r="C53" s="11" t="s">
        <v>63</v>
      </c>
      <c r="D53" s="10" t="s">
        <v>18</v>
      </c>
      <c r="E53" s="12" t="s">
        <v>19</v>
      </c>
      <c r="F53" s="11" t="s">
        <v>20</v>
      </c>
    </row>
    <row r="54" customFormat="false" ht="26.85" hidden="false" customHeight="false" outlineLevel="0" collapsed="false">
      <c r="A54" s="10" t="s">
        <v>42</v>
      </c>
      <c r="B54" s="10" t="s">
        <v>1</v>
      </c>
      <c r="C54" s="11" t="s">
        <v>64</v>
      </c>
      <c r="D54" s="10" t="s">
        <v>26</v>
      </c>
      <c r="E54" s="12" t="s">
        <v>19</v>
      </c>
      <c r="F54" s="11" t="s">
        <v>20</v>
      </c>
    </row>
    <row r="55" customFormat="false" ht="26.85" hidden="false" customHeight="false" outlineLevel="0" collapsed="false">
      <c r="A55" s="10" t="s">
        <v>42</v>
      </c>
      <c r="B55" s="10" t="s">
        <v>1</v>
      </c>
      <c r="C55" s="11" t="s">
        <v>65</v>
      </c>
      <c r="D55" s="10" t="s">
        <v>18</v>
      </c>
      <c r="E55" s="12" t="s">
        <v>19</v>
      </c>
      <c r="F55" s="11" t="s">
        <v>20</v>
      </c>
    </row>
    <row r="56" customFormat="false" ht="26.85" hidden="false" customHeight="false" outlineLevel="0" collapsed="false">
      <c r="A56" s="10" t="s">
        <v>42</v>
      </c>
      <c r="B56" s="10" t="s">
        <v>1</v>
      </c>
      <c r="C56" s="11" t="s">
        <v>66</v>
      </c>
      <c r="D56" s="10" t="s">
        <v>18</v>
      </c>
      <c r="E56" s="12" t="s">
        <v>19</v>
      </c>
      <c r="F56" s="11" t="s">
        <v>20</v>
      </c>
    </row>
    <row r="57" customFormat="false" ht="26.85" hidden="false" customHeight="false" outlineLevel="0" collapsed="false">
      <c r="A57" s="10" t="s">
        <v>42</v>
      </c>
      <c r="B57" s="10" t="s">
        <v>1</v>
      </c>
      <c r="C57" s="11" t="s">
        <v>67</v>
      </c>
      <c r="D57" s="10" t="s">
        <v>26</v>
      </c>
      <c r="E57" s="12" t="s">
        <v>19</v>
      </c>
      <c r="F57" s="11" t="s">
        <v>20</v>
      </c>
    </row>
    <row r="58" customFormat="false" ht="26.85" hidden="false" customHeight="false" outlineLevel="0" collapsed="false">
      <c r="A58" s="10" t="s">
        <v>42</v>
      </c>
      <c r="B58" s="10" t="s">
        <v>1</v>
      </c>
      <c r="C58" s="11" t="s">
        <v>68</v>
      </c>
      <c r="D58" s="10" t="s">
        <v>18</v>
      </c>
      <c r="E58" s="12" t="s">
        <v>19</v>
      </c>
      <c r="F58" s="11" t="s">
        <v>20</v>
      </c>
    </row>
    <row r="59" customFormat="false" ht="26.85" hidden="false" customHeight="false" outlineLevel="0" collapsed="false">
      <c r="A59" s="10" t="s">
        <v>42</v>
      </c>
      <c r="B59" s="10" t="s">
        <v>1</v>
      </c>
      <c r="C59" s="11" t="s">
        <v>69</v>
      </c>
      <c r="D59" s="10" t="s">
        <v>18</v>
      </c>
      <c r="E59" s="12" t="s">
        <v>19</v>
      </c>
      <c r="F59" s="11" t="s">
        <v>20</v>
      </c>
    </row>
    <row r="60" customFormat="false" ht="26.85" hidden="false" customHeight="false" outlineLevel="0" collapsed="false">
      <c r="A60" s="10" t="s">
        <v>42</v>
      </c>
      <c r="B60" s="10" t="s">
        <v>1</v>
      </c>
      <c r="C60" s="11" t="s">
        <v>70</v>
      </c>
      <c r="D60" s="10" t="s">
        <v>18</v>
      </c>
      <c r="E60" s="12" t="s">
        <v>19</v>
      </c>
      <c r="F60" s="11" t="s">
        <v>20</v>
      </c>
    </row>
    <row r="61" customFormat="false" ht="26.85" hidden="false" customHeight="false" outlineLevel="0" collapsed="false">
      <c r="A61" s="10" t="s">
        <v>42</v>
      </c>
      <c r="B61" s="10" t="s">
        <v>1</v>
      </c>
      <c r="C61" s="11" t="s">
        <v>71</v>
      </c>
      <c r="D61" s="10" t="s">
        <v>18</v>
      </c>
      <c r="E61" s="12" t="s">
        <v>19</v>
      </c>
      <c r="F61" s="11" t="s">
        <v>20</v>
      </c>
    </row>
    <row r="62" customFormat="false" ht="15" hidden="false" customHeight="false" outlineLevel="0" collapsed="false">
      <c r="A62" s="10" t="s">
        <v>42</v>
      </c>
      <c r="B62" s="10" t="s">
        <v>1</v>
      </c>
      <c r="C62" s="11" t="s">
        <v>72</v>
      </c>
      <c r="D62" s="10" t="s">
        <v>18</v>
      </c>
      <c r="E62" s="12" t="s">
        <v>19</v>
      </c>
      <c r="F62" s="11" t="s">
        <v>20</v>
      </c>
    </row>
    <row r="63" customFormat="false" ht="26.85" hidden="false" customHeight="false" outlineLevel="0" collapsed="false">
      <c r="A63" s="10" t="s">
        <v>42</v>
      </c>
      <c r="B63" s="10" t="s">
        <v>1</v>
      </c>
      <c r="C63" s="11" t="s">
        <v>73</v>
      </c>
      <c r="D63" s="10" t="s">
        <v>18</v>
      </c>
      <c r="E63" s="12" t="s">
        <v>19</v>
      </c>
      <c r="F63" s="11" t="s">
        <v>20</v>
      </c>
    </row>
    <row r="64" customFormat="false" ht="26.85" hidden="false" customHeight="false" outlineLevel="0" collapsed="false">
      <c r="A64" s="10" t="s">
        <v>42</v>
      </c>
      <c r="B64" s="10" t="s">
        <v>1</v>
      </c>
      <c r="C64" s="11" t="s">
        <v>74</v>
      </c>
      <c r="D64" s="10" t="s">
        <v>26</v>
      </c>
      <c r="E64" s="12" t="s">
        <v>19</v>
      </c>
      <c r="F64" s="11" t="s">
        <v>20</v>
      </c>
    </row>
    <row r="65" customFormat="false" ht="26.85" hidden="false" customHeight="false" outlineLevel="0" collapsed="false">
      <c r="A65" s="10" t="s">
        <v>42</v>
      </c>
      <c r="B65" s="10" t="s">
        <v>1</v>
      </c>
      <c r="C65" s="11" t="s">
        <v>75</v>
      </c>
      <c r="D65" s="10" t="s">
        <v>26</v>
      </c>
      <c r="E65" s="12" t="s">
        <v>19</v>
      </c>
      <c r="F65" s="11" t="s">
        <v>20</v>
      </c>
    </row>
    <row r="66" customFormat="false" ht="26.85" hidden="false" customHeight="false" outlineLevel="0" collapsed="false">
      <c r="A66" s="10" t="s">
        <v>76</v>
      </c>
      <c r="B66" s="10" t="s">
        <v>1</v>
      </c>
      <c r="C66" s="10" t="s">
        <v>77</v>
      </c>
      <c r="D66" s="10" t="s">
        <v>18</v>
      </c>
      <c r="E66" s="12" t="s">
        <v>19</v>
      </c>
      <c r="F66" s="11" t="s">
        <v>20</v>
      </c>
    </row>
    <row r="67" customFormat="false" ht="26.85" hidden="false" customHeight="false" outlineLevel="0" collapsed="false">
      <c r="A67" s="10" t="s">
        <v>76</v>
      </c>
      <c r="B67" s="10" t="s">
        <v>1</v>
      </c>
      <c r="C67" s="10" t="s">
        <v>78</v>
      </c>
      <c r="D67" s="10" t="s">
        <v>18</v>
      </c>
      <c r="E67" s="12" t="s">
        <v>19</v>
      </c>
      <c r="F67" s="11" t="s">
        <v>20</v>
      </c>
    </row>
    <row r="68" customFormat="false" ht="15" hidden="false" customHeight="false" outlineLevel="0" collapsed="false">
      <c r="A68" s="10" t="s">
        <v>16</v>
      </c>
      <c r="B68" s="10" t="s">
        <v>2</v>
      </c>
      <c r="C68" s="11" t="s">
        <v>79</v>
      </c>
      <c r="D68" s="10" t="s">
        <v>26</v>
      </c>
      <c r="E68" s="12" t="s">
        <v>19</v>
      </c>
      <c r="F68" s="11" t="s">
        <v>20</v>
      </c>
    </row>
    <row r="69" customFormat="false" ht="26.85" hidden="false" customHeight="false" outlineLevel="0" collapsed="false">
      <c r="A69" s="10" t="s">
        <v>42</v>
      </c>
      <c r="B69" s="10" t="s">
        <v>2</v>
      </c>
      <c r="C69" s="11" t="s">
        <v>80</v>
      </c>
      <c r="D69" s="10" t="s">
        <v>26</v>
      </c>
      <c r="E69" s="12" t="s">
        <v>19</v>
      </c>
      <c r="F69" s="11" t="s">
        <v>20</v>
      </c>
    </row>
    <row r="70" customFormat="false" ht="39.55" hidden="false" customHeight="false" outlineLevel="0" collapsed="false">
      <c r="A70" s="10" t="s">
        <v>42</v>
      </c>
      <c r="B70" s="10" t="s">
        <v>2</v>
      </c>
      <c r="C70" s="11" t="s">
        <v>81</v>
      </c>
      <c r="D70" s="10" t="s">
        <v>18</v>
      </c>
      <c r="E70" s="12" t="s">
        <v>19</v>
      </c>
      <c r="F70" s="11" t="s">
        <v>20</v>
      </c>
    </row>
    <row r="71" customFormat="false" ht="26.85" hidden="false" customHeight="false" outlineLevel="0" collapsed="false">
      <c r="A71" s="10" t="s">
        <v>42</v>
      </c>
      <c r="B71" s="10" t="s">
        <v>2</v>
      </c>
      <c r="C71" s="11" t="s">
        <v>82</v>
      </c>
      <c r="D71" s="10" t="s">
        <v>26</v>
      </c>
      <c r="E71" s="12" t="s">
        <v>19</v>
      </c>
      <c r="F71" s="11" t="s">
        <v>20</v>
      </c>
    </row>
    <row r="72" customFormat="false" ht="26.85" hidden="false" customHeight="false" outlineLevel="0" collapsed="false">
      <c r="A72" s="10" t="s">
        <v>76</v>
      </c>
      <c r="B72" s="10" t="s">
        <v>2</v>
      </c>
      <c r="C72" s="10" t="s">
        <v>83</v>
      </c>
      <c r="D72" s="10" t="s">
        <v>26</v>
      </c>
      <c r="E72" s="12" t="s">
        <v>19</v>
      </c>
      <c r="F72" s="11" t="s">
        <v>20</v>
      </c>
    </row>
    <row r="73" customFormat="false" ht="15" hidden="false" customHeight="false" outlineLevel="0" collapsed="false">
      <c r="A73" s="10" t="s">
        <v>16</v>
      </c>
      <c r="B73" s="10" t="s">
        <v>1</v>
      </c>
      <c r="C73" s="11" t="s">
        <v>84</v>
      </c>
      <c r="D73" s="10" t="s">
        <v>85</v>
      </c>
      <c r="E73" s="13" t="s">
        <v>86</v>
      </c>
      <c r="F73" s="11" t="s">
        <v>87</v>
      </c>
    </row>
    <row r="74" customFormat="false" ht="26.85" hidden="false" customHeight="false" outlineLevel="0" collapsed="false">
      <c r="A74" s="10" t="s">
        <v>16</v>
      </c>
      <c r="B74" s="10" t="s">
        <v>1</v>
      </c>
      <c r="C74" s="11" t="s">
        <v>88</v>
      </c>
      <c r="D74" s="10" t="s">
        <v>85</v>
      </c>
      <c r="E74" s="13" t="s">
        <v>86</v>
      </c>
      <c r="F74" s="11" t="s">
        <v>89</v>
      </c>
    </row>
    <row r="75" customFormat="false" ht="15" hidden="false" customHeight="false" outlineLevel="0" collapsed="false">
      <c r="A75" s="10" t="s">
        <v>16</v>
      </c>
      <c r="B75" s="10" t="s">
        <v>1</v>
      </c>
      <c r="C75" s="11" t="s">
        <v>90</v>
      </c>
      <c r="D75" s="10" t="s">
        <v>85</v>
      </c>
      <c r="E75" s="13" t="s">
        <v>86</v>
      </c>
      <c r="F75" s="11" t="s">
        <v>91</v>
      </c>
    </row>
    <row r="76" customFormat="false" ht="26.85" hidden="false" customHeight="false" outlineLevel="0" collapsed="false">
      <c r="A76" s="10" t="s">
        <v>16</v>
      </c>
      <c r="B76" s="10" t="s">
        <v>1</v>
      </c>
      <c r="C76" s="11" t="s">
        <v>92</v>
      </c>
      <c r="D76" s="10" t="s">
        <v>85</v>
      </c>
      <c r="E76" s="13" t="s">
        <v>86</v>
      </c>
      <c r="F76" s="11" t="s">
        <v>93</v>
      </c>
    </row>
    <row r="77" customFormat="false" ht="15" hidden="false" customHeight="false" outlineLevel="0" collapsed="false">
      <c r="A77" s="10" t="s">
        <v>42</v>
      </c>
      <c r="B77" s="10" t="s">
        <v>1</v>
      </c>
      <c r="C77" s="11" t="s">
        <v>94</v>
      </c>
      <c r="D77" s="10" t="s">
        <v>85</v>
      </c>
      <c r="E77" s="13" t="s">
        <v>86</v>
      </c>
      <c r="F77" s="11" t="s">
        <v>95</v>
      </c>
    </row>
    <row r="78" customFormat="false" ht="26.85" hidden="false" customHeight="false" outlineLevel="0" collapsed="false">
      <c r="A78" s="10" t="s">
        <v>42</v>
      </c>
      <c r="B78" s="10" t="s">
        <v>1</v>
      </c>
      <c r="C78" s="11" t="s">
        <v>96</v>
      </c>
      <c r="D78" s="10" t="s">
        <v>85</v>
      </c>
      <c r="E78" s="13" t="s">
        <v>86</v>
      </c>
      <c r="F78" s="11" t="s">
        <v>97</v>
      </c>
    </row>
    <row r="79" customFormat="false" ht="26.85" hidden="false" customHeight="false" outlineLevel="0" collapsed="false">
      <c r="A79" s="10" t="s">
        <v>42</v>
      </c>
      <c r="B79" s="10" t="s">
        <v>1</v>
      </c>
      <c r="C79" s="11" t="s">
        <v>98</v>
      </c>
      <c r="D79" s="10" t="s">
        <v>85</v>
      </c>
      <c r="E79" s="13" t="s">
        <v>86</v>
      </c>
      <c r="F79" s="11" t="s">
        <v>99</v>
      </c>
    </row>
    <row r="80" customFormat="false" ht="26.85" hidden="false" customHeight="false" outlineLevel="0" collapsed="false">
      <c r="A80" s="10" t="s">
        <v>42</v>
      </c>
      <c r="B80" s="10" t="s">
        <v>1</v>
      </c>
      <c r="C80" s="11" t="s">
        <v>100</v>
      </c>
      <c r="D80" s="10" t="s">
        <v>85</v>
      </c>
      <c r="E80" s="13" t="s">
        <v>86</v>
      </c>
      <c r="F80" s="11" t="s">
        <v>101</v>
      </c>
    </row>
    <row r="81" customFormat="false" ht="26.85" hidden="false" customHeight="false" outlineLevel="0" collapsed="false">
      <c r="A81" s="10" t="s">
        <v>42</v>
      </c>
      <c r="B81" s="10" t="s">
        <v>1</v>
      </c>
      <c r="C81" s="11" t="s">
        <v>102</v>
      </c>
      <c r="D81" s="10" t="s">
        <v>85</v>
      </c>
      <c r="E81" s="13" t="s">
        <v>86</v>
      </c>
      <c r="F81" s="11" t="s">
        <v>103</v>
      </c>
    </row>
    <row r="82" customFormat="false" ht="15" hidden="false" customHeight="false" outlineLevel="0" collapsed="false">
      <c r="A82" s="10" t="s">
        <v>42</v>
      </c>
      <c r="B82" s="10" t="s">
        <v>1</v>
      </c>
      <c r="C82" s="11" t="s">
        <v>104</v>
      </c>
      <c r="D82" s="10" t="s">
        <v>85</v>
      </c>
      <c r="E82" s="13" t="s">
        <v>86</v>
      </c>
      <c r="F82" s="11" t="s">
        <v>105</v>
      </c>
    </row>
    <row r="83" customFormat="false" ht="26.85" hidden="false" customHeight="false" outlineLevel="0" collapsed="false">
      <c r="A83" s="10" t="s">
        <v>42</v>
      </c>
      <c r="B83" s="10" t="s">
        <v>1</v>
      </c>
      <c r="C83" s="11" t="s">
        <v>106</v>
      </c>
      <c r="D83" s="10" t="s">
        <v>85</v>
      </c>
      <c r="E83" s="13" t="s">
        <v>86</v>
      </c>
      <c r="F83" s="11" t="s">
        <v>107</v>
      </c>
    </row>
    <row r="84" customFormat="false" ht="26.85" hidden="false" customHeight="false" outlineLevel="0" collapsed="false">
      <c r="A84" s="10" t="s">
        <v>42</v>
      </c>
      <c r="B84" s="10" t="s">
        <v>1</v>
      </c>
      <c r="C84" s="11" t="s">
        <v>108</v>
      </c>
      <c r="D84" s="10" t="s">
        <v>85</v>
      </c>
      <c r="E84" s="13" t="s">
        <v>86</v>
      </c>
      <c r="F84" s="11" t="s">
        <v>107</v>
      </c>
    </row>
    <row r="85" customFormat="false" ht="26.85" hidden="false" customHeight="false" outlineLevel="0" collapsed="false">
      <c r="A85" s="10" t="s">
        <v>42</v>
      </c>
      <c r="B85" s="10" t="s">
        <v>1</v>
      </c>
      <c r="C85" s="11" t="s">
        <v>109</v>
      </c>
      <c r="D85" s="10" t="s">
        <v>85</v>
      </c>
      <c r="E85" s="13" t="s">
        <v>86</v>
      </c>
      <c r="F85" s="11" t="s">
        <v>110</v>
      </c>
    </row>
    <row r="86" customFormat="false" ht="26.85" hidden="false" customHeight="false" outlineLevel="0" collapsed="false">
      <c r="A86" s="10" t="s">
        <v>42</v>
      </c>
      <c r="B86" s="10" t="s">
        <v>1</v>
      </c>
      <c r="C86" s="11" t="s">
        <v>111</v>
      </c>
      <c r="D86" s="10" t="s">
        <v>85</v>
      </c>
      <c r="E86" s="13" t="s">
        <v>86</v>
      </c>
      <c r="F86" s="11" t="s">
        <v>112</v>
      </c>
    </row>
    <row r="87" customFormat="false" ht="15" hidden="false" customHeight="false" outlineLevel="0" collapsed="false">
      <c r="A87" s="10" t="s">
        <v>16</v>
      </c>
      <c r="B87" s="10" t="s">
        <v>2</v>
      </c>
      <c r="C87" s="11" t="s">
        <v>113</v>
      </c>
      <c r="D87" s="10" t="s">
        <v>18</v>
      </c>
      <c r="E87" s="13" t="s">
        <v>86</v>
      </c>
      <c r="F87" s="11" t="s">
        <v>114</v>
      </c>
    </row>
    <row r="88" customFormat="false" ht="15" hidden="false" customHeight="false" outlineLevel="0" collapsed="false">
      <c r="A88" s="10" t="s">
        <v>16</v>
      </c>
      <c r="B88" s="10" t="s">
        <v>2</v>
      </c>
      <c r="C88" s="11" t="s">
        <v>115</v>
      </c>
      <c r="D88" s="10" t="s">
        <v>26</v>
      </c>
      <c r="E88" s="13" t="s">
        <v>86</v>
      </c>
      <c r="F88" s="10" t="s">
        <v>116</v>
      </c>
    </row>
    <row r="89" customFormat="false" ht="26.85" hidden="false" customHeight="false" outlineLevel="0" collapsed="false">
      <c r="A89" s="10" t="s">
        <v>42</v>
      </c>
      <c r="B89" s="10" t="s">
        <v>2</v>
      </c>
      <c r="C89" s="11" t="s">
        <v>117</v>
      </c>
      <c r="D89" s="10" t="s">
        <v>85</v>
      </c>
      <c r="E89" s="13" t="s">
        <v>86</v>
      </c>
      <c r="F89" s="11" t="s">
        <v>118</v>
      </c>
    </row>
    <row r="90" customFormat="false" ht="26.85" hidden="false" customHeight="false" outlineLevel="0" collapsed="false">
      <c r="A90" s="10" t="s">
        <v>42</v>
      </c>
      <c r="B90" s="10" t="s">
        <v>2</v>
      </c>
      <c r="C90" s="11" t="s">
        <v>119</v>
      </c>
      <c r="D90" s="10" t="s">
        <v>85</v>
      </c>
      <c r="E90" s="13" t="s">
        <v>86</v>
      </c>
      <c r="F90" s="11" t="s">
        <v>120</v>
      </c>
    </row>
    <row r="91" customFormat="false" ht="26.85" hidden="false" customHeight="false" outlineLevel="0" collapsed="false">
      <c r="A91" s="10" t="s">
        <v>42</v>
      </c>
      <c r="B91" s="10" t="s">
        <v>2</v>
      </c>
      <c r="C91" s="11" t="s">
        <v>121</v>
      </c>
      <c r="D91" s="10" t="s">
        <v>85</v>
      </c>
      <c r="E91" s="13" t="s">
        <v>86</v>
      </c>
      <c r="F91" s="11" t="s">
        <v>122</v>
      </c>
    </row>
    <row r="92" customFormat="false" ht="26.85" hidden="false" customHeight="false" outlineLevel="0" collapsed="false">
      <c r="A92" s="10" t="s">
        <v>42</v>
      </c>
      <c r="B92" s="10" t="s">
        <v>2</v>
      </c>
      <c r="C92" s="11" t="s">
        <v>123</v>
      </c>
      <c r="D92" s="10" t="s">
        <v>85</v>
      </c>
      <c r="E92" s="13" t="s">
        <v>86</v>
      </c>
      <c r="F92" s="11" t="s">
        <v>120</v>
      </c>
    </row>
    <row r="93" customFormat="false" ht="26.85" hidden="false" customHeight="false" outlineLevel="0" collapsed="false">
      <c r="A93" s="10" t="s">
        <v>42</v>
      </c>
      <c r="B93" s="10" t="s">
        <v>2</v>
      </c>
      <c r="C93" s="11" t="s">
        <v>124</v>
      </c>
      <c r="D93" s="10" t="s">
        <v>26</v>
      </c>
      <c r="E93" s="13" t="s">
        <v>86</v>
      </c>
      <c r="F93" s="10" t="s">
        <v>125</v>
      </c>
    </row>
  </sheetData>
  <autoFilter ref="A11:F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2"/>
    <col collapsed="false" customWidth="true" hidden="false" outlineLevel="0" max="3" min="3" style="14" width="20"/>
    <col collapsed="false" customWidth="true" hidden="false" outlineLevel="0" max="5" min="4" style="14" width="14"/>
    <col collapsed="false" customWidth="true" hidden="false" outlineLevel="0" max="6" min="6" style="14" width="70"/>
  </cols>
  <sheetData>
    <row r="1" customFormat="false" ht="16.5" hidden="false" customHeight="true" outlineLevel="0" collapsed="false">
      <c r="A1" s="15" t="s">
        <v>126</v>
      </c>
    </row>
    <row r="2" customFormat="false" ht="30" hidden="false" customHeight="true" outlineLevel="0" collapsed="false">
      <c r="A2" s="16" t="s">
        <v>127</v>
      </c>
      <c r="B2" s="16"/>
      <c r="C2" s="16"/>
      <c r="D2" s="16"/>
      <c r="E2" s="16"/>
      <c r="F2" s="16"/>
    </row>
    <row r="4" customFormat="false" ht="15" hidden="false" customHeight="true" outlineLevel="0" collapsed="false">
      <c r="A4" s="17" t="s">
        <v>128</v>
      </c>
    </row>
    <row r="5" customFormat="false" ht="15" hidden="false" customHeight="true" outlineLevel="0" collapsed="false">
      <c r="A5" s="18" t="s">
        <v>129</v>
      </c>
      <c r="B5" s="2" t="s">
        <v>130</v>
      </c>
      <c r="C5" s="2" t="s">
        <v>131</v>
      </c>
    </row>
    <row r="6" customFormat="false" ht="15" hidden="false" customHeight="true" outlineLevel="0" collapsed="false">
      <c r="A6" s="19" t="s">
        <v>26</v>
      </c>
      <c r="B6" s="20" t="n">
        <f aca="false">COUNTIF(单一被试!$J$2:$J$46,"无保留")</f>
        <v>13</v>
      </c>
      <c r="C6" s="20" t="n">
        <f aca="false">COUNTIF(单一被试!$K$2:$K$46,"无保留")</f>
        <v>5</v>
      </c>
    </row>
    <row r="7" customFormat="false" ht="15" hidden="false" customHeight="true" outlineLevel="0" collapsed="false">
      <c r="A7" s="19" t="s">
        <v>18</v>
      </c>
      <c r="B7" s="20" t="n">
        <f aca="false">COUNTIF(单一被试!$J$2:$J$46,"有保留")</f>
        <v>22</v>
      </c>
      <c r="C7" s="20" t="n">
        <f aca="false">COUNTIF(单一被试!$K$2:$K$46,"有保留")</f>
        <v>30</v>
      </c>
    </row>
    <row r="8" customFormat="false" ht="15" hidden="false" customHeight="true" outlineLevel="0" collapsed="false">
      <c r="A8" s="19" t="s">
        <v>85</v>
      </c>
      <c r="B8" s="20" t="n">
        <f aca="false">COUNTIF(单一被试!$J$2:$J$46,"不达标")</f>
        <v>10</v>
      </c>
      <c r="C8" s="20" t="n">
        <f aca="false">COUNTIF(单一被试!$K$2:$K$46,"不达标")</f>
        <v>10</v>
      </c>
    </row>
    <row r="9" customFormat="false" ht="15" hidden="false" customHeight="true" outlineLevel="0" collapsed="false">
      <c r="A9" s="17" t="s">
        <v>132</v>
      </c>
      <c r="B9" s="21" t="n">
        <f aca="false">B6+B7</f>
        <v>35</v>
      </c>
      <c r="C9" s="21" t="n">
        <f aca="false">C6+C7</f>
        <v>35</v>
      </c>
    </row>
    <row r="10" customFormat="false" ht="26.25" hidden="false" customHeight="true" outlineLevel="0" collapsed="false">
      <c r="A10" s="19" t="s">
        <v>133</v>
      </c>
      <c r="B10" s="20" t="n">
        <f aca="false">COUNTIF(单一被试!$L$2:$L$46,"一致")</f>
        <v>33</v>
      </c>
      <c r="C10" s="20" t="n">
        <f aca="false">COUNTIF(单一被试!$L$2:$L$46,"不一致")</f>
        <v>12</v>
      </c>
      <c r="D10" s="19" t="s">
        <v>134</v>
      </c>
    </row>
    <row r="12" customFormat="false" ht="26.25" hidden="false" customHeight="true" outlineLevel="0" collapsed="false">
      <c r="A12" s="17" t="s">
        <v>135</v>
      </c>
    </row>
    <row r="13" customFormat="false" ht="15" hidden="false" customHeight="true" outlineLevel="0" collapsed="false">
      <c r="A13" s="2" t="s">
        <v>136</v>
      </c>
      <c r="B13" s="18" t="s">
        <v>26</v>
      </c>
      <c r="C13" s="18" t="s">
        <v>18</v>
      </c>
      <c r="D13" s="18" t="s">
        <v>85</v>
      </c>
      <c r="E13" s="18" t="s">
        <v>3</v>
      </c>
    </row>
    <row r="14" customFormat="false" ht="15" hidden="false" customHeight="true" outlineLevel="0" collapsed="false">
      <c r="A14" s="19" t="s">
        <v>26</v>
      </c>
      <c r="B14" s="20" t="n">
        <f aca="false">COUNTIFS(单一被试!$J$2:$J$46,"无保留",单一被试!$K$2:$K$46,"无保留")</f>
        <v>4</v>
      </c>
      <c r="C14" s="20" t="n">
        <f aca="false">COUNTIFS(单一被试!$J$2:$J$46,"无保留",单一被试!$K$2:$K$46,"有保留")</f>
        <v>9</v>
      </c>
      <c r="D14" s="20" t="n">
        <f aca="false">COUNTIFS(单一被试!$J$2:$J$46,"无保留",单一被试!$K$2:$K$46,"不达标")</f>
        <v>0</v>
      </c>
      <c r="E14" s="21" t="n">
        <f aca="false">SUM(B14:D14)</f>
        <v>13</v>
      </c>
    </row>
    <row r="15" customFormat="false" ht="15" hidden="false" customHeight="true" outlineLevel="0" collapsed="false">
      <c r="A15" s="19" t="s">
        <v>18</v>
      </c>
      <c r="B15" s="20" t="n">
        <f aca="false">COUNTIFS(单一被试!$J$2:$J$46,"有保留",单一被试!$K$2:$K$46,"无保留")</f>
        <v>1</v>
      </c>
      <c r="C15" s="20" t="n">
        <f aca="false">COUNTIFS(单一被试!$J$2:$J$46,"有保留",单一被试!$K$2:$K$46,"有保留")</f>
        <v>20</v>
      </c>
      <c r="D15" s="20" t="n">
        <f aca="false">COUNTIFS(单一被试!$J$2:$J$46,"有保留",单一被试!$K$2:$K$46,"不达标")</f>
        <v>1</v>
      </c>
      <c r="E15" s="21" t="n">
        <f aca="false">SUM(B15:D15)</f>
        <v>22</v>
      </c>
    </row>
    <row r="16" customFormat="false" ht="15" hidden="false" customHeight="true" outlineLevel="0" collapsed="false">
      <c r="A16" s="19" t="s">
        <v>85</v>
      </c>
      <c r="B16" s="20" t="n">
        <f aca="false">COUNTIFS(单一被试!$J$2:$J$46,"不达标",单一被试!$K$2:$K$46,"无保留")</f>
        <v>0</v>
      </c>
      <c r="C16" s="20" t="n">
        <f aca="false">COUNTIFS(单一被试!$J$2:$J$46,"不达标",单一被试!$K$2:$K$46,"有保留")</f>
        <v>1</v>
      </c>
      <c r="D16" s="20" t="n">
        <f aca="false">COUNTIFS(单一被试!$J$2:$J$46,"不达标",单一被试!$K$2:$K$46,"不达标")</f>
        <v>9</v>
      </c>
      <c r="E16" s="21" t="n">
        <f aca="false">SUM(B16:D16)</f>
        <v>10</v>
      </c>
    </row>
    <row r="17" customFormat="false" ht="15" hidden="false" customHeight="true" outlineLevel="0" collapsed="false">
      <c r="A17" s="17" t="s">
        <v>3</v>
      </c>
      <c r="B17" s="21" t="n">
        <f aca="false">SUM(B14:B16)</f>
        <v>5</v>
      </c>
      <c r="C17" s="21" t="n">
        <f aca="false">SUM(C14:C16)</f>
        <v>30</v>
      </c>
      <c r="D17" s="21" t="n">
        <f aca="false">SUM(D14:D16)</f>
        <v>10</v>
      </c>
      <c r="E17" s="21" t="n">
        <f aca="false">SUM(E14:E16)</f>
        <v>45</v>
      </c>
    </row>
    <row r="19" customFormat="false" ht="26.25" hidden="false" customHeight="true" outlineLevel="0" collapsed="false">
      <c r="A19" s="17" t="s">
        <v>137</v>
      </c>
    </row>
    <row r="20" customFormat="false" ht="15" hidden="false" customHeight="true" outlineLevel="0" collapsed="false">
      <c r="A20" s="18" t="s">
        <v>138</v>
      </c>
      <c r="B20" s="18" t="s">
        <v>139</v>
      </c>
    </row>
    <row r="21" customFormat="false" ht="15" hidden="false" customHeight="true" outlineLevel="0" collapsed="false">
      <c r="A21" s="19" t="s">
        <v>140</v>
      </c>
      <c r="B21" s="20" t="n">
        <f aca="false">COUNTIFS(单一被试!$J$2:$J$46,"&lt;&gt;不达标",单一被试!$H$2:$H$46,"强*")</f>
        <v>21</v>
      </c>
    </row>
    <row r="22" customFormat="false" ht="15" hidden="false" customHeight="true" outlineLevel="0" collapsed="false">
      <c r="A22" s="19" t="s">
        <v>141</v>
      </c>
      <c r="B22" s="20" t="n">
        <f aca="false">COUNTIFS(单一被试!$J$2:$J$46,"&lt;&gt;不达标",单一被试!$H$2:$H$46,"中等*")</f>
        <v>13</v>
      </c>
    </row>
    <row r="23" customFormat="false" ht="26.25" hidden="false" customHeight="true" outlineLevel="0" collapsed="false">
      <c r="A23" s="19" t="s">
        <v>142</v>
      </c>
      <c r="B23" s="20" t="n">
        <f aca="false">COUNTIFS(单一被试!$J$2:$J$46,"&lt;&gt;不达标",单一被试!$H$2:$H$46,"*无证据*")</f>
        <v>1</v>
      </c>
    </row>
    <row r="24" customFormat="false" ht="15" hidden="false" customHeight="true" outlineLevel="0" collapsed="false">
      <c r="A24" s="17" t="s">
        <v>3</v>
      </c>
      <c r="B24" s="21" t="n">
        <f aca="false">SUM(B21:B23)</f>
        <v>35</v>
      </c>
      <c r="C24" s="20" t="str">
        <f aca="false">IF(B24=B9,"与3.0达标篇数相符","核对")</f>
        <v>与3.0达标篇数相符</v>
      </c>
    </row>
    <row r="26" customFormat="false" ht="26.25" hidden="false" customHeight="true" outlineLevel="0" collapsed="false">
      <c r="A26" s="17" t="s">
        <v>143</v>
      </c>
    </row>
    <row r="27" customFormat="false" ht="15" hidden="false" customHeight="true" outlineLevel="0" collapsed="false">
      <c r="A27" s="18" t="s">
        <v>129</v>
      </c>
      <c r="B27" s="18" t="s">
        <v>144</v>
      </c>
      <c r="C27" s="18" t="s">
        <v>145</v>
      </c>
    </row>
    <row r="28" customFormat="false" ht="15" hidden="false" customHeight="true" outlineLevel="0" collapsed="false">
      <c r="A28" s="19" t="s">
        <v>26</v>
      </c>
      <c r="B28" s="20" t="n">
        <f aca="false">COUNTIF(组间设计!$I$2:$I$10,"无保留")</f>
        <v>6</v>
      </c>
      <c r="C28" s="20" t="n">
        <f aca="false">COUNTIF(组间设计!$J$2:$J$10,"无保留")</f>
        <v>4</v>
      </c>
    </row>
    <row r="29" customFormat="false" ht="15" hidden="false" customHeight="true" outlineLevel="0" collapsed="false">
      <c r="A29" s="19" t="s">
        <v>18</v>
      </c>
      <c r="B29" s="20" t="n">
        <f aca="false">COUNTIF(组间设计!$I$2:$I$10,"有保留")</f>
        <v>0</v>
      </c>
      <c r="C29" s="20" t="n">
        <f aca="false">COUNTIF(组间设计!$J$2:$J$10,"有保留")</f>
        <v>1</v>
      </c>
    </row>
    <row r="30" customFormat="false" ht="15" hidden="false" customHeight="true" outlineLevel="0" collapsed="false">
      <c r="A30" s="19" t="s">
        <v>85</v>
      </c>
      <c r="B30" s="20" t="n">
        <f aca="false">COUNTIF(组间设计!$I$2:$I$10,"不达标")</f>
        <v>3</v>
      </c>
      <c r="C30" s="20" t="n">
        <f aca="false">COUNTIF(组间设计!$J$2:$J$10,"不达标")</f>
        <v>4</v>
      </c>
    </row>
    <row r="31" customFormat="false" ht="15" hidden="false" customHeight="true" outlineLevel="0" collapsed="false">
      <c r="A31" s="17" t="s">
        <v>146</v>
      </c>
      <c r="B31" s="21" t="n">
        <f aca="false">B28+B29</f>
        <v>6</v>
      </c>
      <c r="C31" s="21" t="n">
        <f aca="false">C28+C29</f>
        <v>5</v>
      </c>
    </row>
    <row r="33" customFormat="false" ht="15" hidden="false" customHeight="true" outlineLevel="0" collapsed="false">
      <c r="A33" s="17" t="s">
        <v>147</v>
      </c>
    </row>
    <row r="34" customFormat="false" ht="15" hidden="false" customHeight="true" outlineLevel="0" collapsed="false">
      <c r="A34" s="18" t="s">
        <v>148</v>
      </c>
      <c r="B34" s="18" t="s">
        <v>149</v>
      </c>
      <c r="C34" s="18" t="s">
        <v>150</v>
      </c>
    </row>
    <row r="35" customFormat="false" ht="45" hidden="false" customHeight="true" outlineLevel="0" collapsed="false">
      <c r="A35" s="22" t="s">
        <v>151</v>
      </c>
      <c r="B35" s="22" t="s">
        <v>152</v>
      </c>
      <c r="C35" s="22" t="s">
        <v>153</v>
      </c>
    </row>
    <row r="36" customFormat="false" ht="45" hidden="false" customHeight="true" outlineLevel="0" collapsed="false">
      <c r="A36" s="22" t="s">
        <v>154</v>
      </c>
      <c r="B36" s="22" t="s">
        <v>155</v>
      </c>
      <c r="C36" s="22" t="s">
        <v>153</v>
      </c>
    </row>
    <row r="37" customFormat="false" ht="45" hidden="false" customHeight="true" outlineLevel="0" collapsed="false">
      <c r="A37" s="22" t="s">
        <v>156</v>
      </c>
      <c r="B37" s="22" t="s">
        <v>157</v>
      </c>
      <c r="C37" s="22" t="s">
        <v>158</v>
      </c>
    </row>
    <row r="38" customFormat="false" ht="45" hidden="false" customHeight="true" outlineLevel="0" collapsed="false">
      <c r="A38" s="22" t="s">
        <v>159</v>
      </c>
      <c r="B38" s="22" t="s">
        <v>160</v>
      </c>
      <c r="C38" s="22" t="s">
        <v>161</v>
      </c>
    </row>
    <row r="39" customFormat="false" ht="45" hidden="false" customHeight="true" outlineLevel="0" collapsed="false">
      <c r="A39" s="22" t="s">
        <v>162</v>
      </c>
      <c r="B39" s="22" t="s">
        <v>163</v>
      </c>
      <c r="C39" s="22" t="s">
        <v>164</v>
      </c>
    </row>
    <row r="41" customFormat="false" ht="26.25" hidden="false" customHeight="true" outlineLevel="0" collapsed="false">
      <c r="A41" s="17" t="s">
        <v>165</v>
      </c>
    </row>
    <row r="42" customFormat="false" ht="15" hidden="false" customHeight="true" outlineLevel="0" collapsed="false">
      <c r="A42" s="16" t="s">
        <v>166</v>
      </c>
      <c r="B42" s="16"/>
      <c r="C42" s="16"/>
      <c r="D42" s="16"/>
      <c r="E42" s="16"/>
      <c r="F42" s="16"/>
    </row>
    <row r="43" customFormat="false" ht="15" hidden="false" customHeight="true" outlineLevel="0" collapsed="false">
      <c r="A43" s="16" t="s">
        <v>167</v>
      </c>
      <c r="B43" s="16"/>
      <c r="C43" s="16"/>
      <c r="D43" s="16"/>
      <c r="E43" s="16"/>
      <c r="F43" s="16"/>
    </row>
    <row r="44" customFormat="false" ht="15" hidden="false" customHeight="true" outlineLevel="0" collapsed="false">
      <c r="A44" s="16" t="s">
        <v>168</v>
      </c>
      <c r="B44" s="16"/>
      <c r="C44" s="16"/>
      <c r="D44" s="16"/>
      <c r="E44" s="16"/>
      <c r="F44" s="16"/>
    </row>
    <row r="45" customFormat="false" ht="15" hidden="false" customHeight="true" outlineLevel="0" collapsed="false">
      <c r="A45" s="16" t="s">
        <v>169</v>
      </c>
      <c r="B45" s="16"/>
      <c r="C45" s="16"/>
      <c r="D45" s="16"/>
      <c r="E45" s="16"/>
      <c r="F45" s="16"/>
    </row>
    <row r="46" customFormat="false" ht="15" hidden="false" customHeight="true" outlineLevel="0" collapsed="false">
      <c r="A46" s="16" t="s">
        <v>170</v>
      </c>
      <c r="B46" s="16"/>
      <c r="C46" s="16"/>
      <c r="D46" s="16"/>
      <c r="E46" s="16"/>
      <c r="F46" s="16"/>
    </row>
    <row r="48" customFormat="false" ht="26.25" hidden="false" customHeight="true" outlineLevel="0" collapsed="false">
      <c r="A48" s="17" t="s">
        <v>171</v>
      </c>
    </row>
    <row r="49" customFormat="false" ht="31.5" hidden="false" customHeight="true" outlineLevel="0" collapsed="false">
      <c r="A49" s="23" t="s">
        <v>172</v>
      </c>
      <c r="B49" s="23"/>
      <c r="C49" s="23"/>
      <c r="D49" s="23"/>
      <c r="E49" s="23"/>
      <c r="F49" s="23"/>
    </row>
    <row r="50" customFormat="false" ht="31.5" hidden="false" customHeight="true" outlineLevel="0" collapsed="false">
      <c r="A50" s="23" t="s">
        <v>173</v>
      </c>
      <c r="B50" s="23"/>
      <c r="C50" s="23"/>
      <c r="D50" s="23"/>
      <c r="E50" s="23"/>
      <c r="F50" s="23"/>
    </row>
    <row r="51" customFormat="false" ht="31.5" hidden="false" customHeight="true" outlineLevel="0" collapsed="false">
      <c r="A51" s="23" t="s">
        <v>174</v>
      </c>
      <c r="B51" s="23"/>
      <c r="C51" s="23"/>
      <c r="D51" s="23"/>
      <c r="E51" s="23"/>
      <c r="F51" s="23"/>
    </row>
    <row r="52" customFormat="false" ht="31.5" hidden="false" customHeight="true" outlineLevel="0" collapsed="false">
      <c r="A52" s="23" t="s">
        <v>175</v>
      </c>
      <c r="B52" s="23"/>
      <c r="C52" s="23"/>
      <c r="D52" s="23"/>
      <c r="E52" s="23"/>
      <c r="F52" s="23"/>
    </row>
    <row r="53" customFormat="false" ht="31.5" hidden="false" customHeight="true" outlineLevel="0" collapsed="false">
      <c r="A53" s="23" t="s">
        <v>176</v>
      </c>
      <c r="B53" s="23"/>
      <c r="C53" s="23"/>
      <c r="D53" s="23"/>
      <c r="E53" s="23"/>
      <c r="F53" s="23"/>
    </row>
    <row r="54" customFormat="false" ht="31.5" hidden="false" customHeight="true" outlineLevel="0" collapsed="false">
      <c r="A54" s="23" t="s">
        <v>177</v>
      </c>
      <c r="B54" s="23"/>
      <c r="C54" s="23"/>
      <c r="D54" s="23"/>
      <c r="E54" s="23"/>
      <c r="F54" s="23"/>
    </row>
  </sheetData>
  <mergeCells count="12">
    <mergeCell ref="A2:F2"/>
    <mergeCell ref="A42:F42"/>
    <mergeCell ref="A43:F43"/>
    <mergeCell ref="A44:F44"/>
    <mergeCell ref="A45:F45"/>
    <mergeCell ref="A46:F46"/>
    <mergeCell ref="A49:F49"/>
    <mergeCell ref="A50:F50"/>
    <mergeCell ref="A51:F51"/>
    <mergeCell ref="A52:F52"/>
    <mergeCell ref="A53:F53"/>
    <mergeCell ref="A54:F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4" width="40"/>
    <col collapsed="false" customWidth="true" hidden="false" outlineLevel="0" max="2" min="2" style="14" width="22"/>
    <col collapsed="false" customWidth="true" hidden="false" outlineLevel="0" max="3" min="3" style="14" width="24"/>
    <col collapsed="false" customWidth="true" hidden="false" outlineLevel="0" max="5" min="4" style="14" width="14"/>
    <col collapsed="false" customWidth="true" hidden="false" outlineLevel="0" max="6" min="6" style="14" width="60"/>
  </cols>
  <sheetData>
    <row r="1" customFormat="false" ht="32.25" hidden="false" customHeight="true" outlineLevel="0" collapsed="false">
      <c r="A1" s="24" t="s">
        <v>178</v>
      </c>
    </row>
    <row r="2" customFormat="false" ht="30" hidden="false" customHeight="true" outlineLevel="0" collapsed="false">
      <c r="A2" s="16" t="s">
        <v>179</v>
      </c>
      <c r="B2" s="16"/>
      <c r="C2" s="16"/>
      <c r="D2" s="16"/>
      <c r="E2" s="16"/>
      <c r="F2" s="16"/>
    </row>
    <row r="4" customFormat="false" ht="15" hidden="false" customHeight="true" outlineLevel="0" collapsed="false">
      <c r="A4" s="17" t="s">
        <v>180</v>
      </c>
    </row>
    <row r="5" customFormat="false" ht="15" hidden="false" customHeight="true" outlineLevel="0" collapsed="false">
      <c r="A5" s="18" t="s">
        <v>129</v>
      </c>
      <c r="B5" s="2" t="s">
        <v>130</v>
      </c>
      <c r="C5" s="2" t="s">
        <v>131</v>
      </c>
    </row>
    <row r="6" customFormat="false" ht="15" hidden="false" customHeight="true" outlineLevel="0" collapsed="false">
      <c r="A6" s="19" t="s">
        <v>26</v>
      </c>
      <c r="B6" s="20" t="n">
        <f aca="false">COUNTIF(母本单一被试!$K$2:$K$26,"无保留")</f>
        <v>9</v>
      </c>
      <c r="C6" s="20" t="n">
        <f aca="false">COUNTIF(母本单一被试!$L$2:$L$26,"无保留")</f>
        <v>7</v>
      </c>
    </row>
    <row r="7" customFormat="false" ht="15" hidden="false" customHeight="true" outlineLevel="0" collapsed="false">
      <c r="A7" s="19" t="s">
        <v>18</v>
      </c>
      <c r="B7" s="20" t="n">
        <f aca="false">COUNTIF(母本单一被试!$K$2:$K$26,"有保留")</f>
        <v>14</v>
      </c>
      <c r="C7" s="20" t="n">
        <f aca="false">COUNTIF(母本单一被试!$L$2:$L$26,"有保留")</f>
        <v>14</v>
      </c>
    </row>
    <row r="8" customFormat="false" ht="15" hidden="false" customHeight="true" outlineLevel="0" collapsed="false">
      <c r="A8" s="19" t="s">
        <v>85</v>
      </c>
      <c r="B8" s="20" t="n">
        <f aca="false">COUNTIF(母本单一被试!$K$2:$K$26,"不达标")</f>
        <v>2</v>
      </c>
      <c r="C8" s="20" t="n">
        <f aca="false">COUNTIF(母本单一被试!$L$2:$L$26,"不达标")</f>
        <v>4</v>
      </c>
    </row>
    <row r="9" customFormat="false" ht="15" hidden="false" customHeight="true" outlineLevel="0" collapsed="false">
      <c r="A9" s="17" t="s">
        <v>146</v>
      </c>
      <c r="B9" s="21" t="n">
        <f aca="false">B6+B7</f>
        <v>23</v>
      </c>
      <c r="C9" s="21" t="n">
        <f aca="false">C6+C7</f>
        <v>21</v>
      </c>
    </row>
    <row r="10" customFormat="false" ht="15" hidden="false" customHeight="true" outlineLevel="0" collapsed="false">
      <c r="A10" s="19" t="s">
        <v>133</v>
      </c>
      <c r="B10" s="20" t="n">
        <f aca="false">COUNTIF(母本单一被试!$M$2:$M$26,"一致")</f>
        <v>22</v>
      </c>
      <c r="C10" s="20" t="n">
        <f aca="false">COUNTIF(母本单一被试!$M$2:$M$26,"不一致")</f>
        <v>3</v>
      </c>
    </row>
    <row r="12" customFormat="false" ht="15" hidden="false" customHeight="true" outlineLevel="0" collapsed="false">
      <c r="A12" s="17" t="s">
        <v>181</v>
      </c>
    </row>
    <row r="13" customFormat="false" ht="15" hidden="false" customHeight="true" outlineLevel="0" collapsed="false">
      <c r="A13" s="2" t="s">
        <v>136</v>
      </c>
      <c r="B13" s="18" t="s">
        <v>26</v>
      </c>
      <c r="C13" s="18" t="s">
        <v>18</v>
      </c>
      <c r="D13" s="18" t="s">
        <v>85</v>
      </c>
      <c r="E13" s="18" t="s">
        <v>3</v>
      </c>
    </row>
    <row r="14" customFormat="false" ht="15" hidden="false" customHeight="true" outlineLevel="0" collapsed="false">
      <c r="A14" s="19" t="s">
        <v>26</v>
      </c>
      <c r="B14" s="20" t="n">
        <f aca="false">COUNTIFS(母本单一被试!$K$2:$K$26,"无保留",母本单一被试!$L$2:$L$26,"无保留")</f>
        <v>7</v>
      </c>
      <c r="C14" s="20" t="n">
        <f aca="false">COUNTIFS(母本单一被试!$K$2:$K$26,"无保留",母本单一被试!$L$2:$L$26,"有保留")</f>
        <v>1</v>
      </c>
      <c r="D14" s="20" t="n">
        <f aca="false">COUNTIFS(母本单一被试!$K$2:$K$26,"无保留",母本单一被试!$L$2:$L$26,"不达标")</f>
        <v>1</v>
      </c>
      <c r="E14" s="21" t="n">
        <f aca="false">SUM(B14:D14)</f>
        <v>9</v>
      </c>
    </row>
    <row r="15" customFormat="false" ht="15" hidden="false" customHeight="true" outlineLevel="0" collapsed="false">
      <c r="A15" s="19" t="s">
        <v>18</v>
      </c>
      <c r="B15" s="20" t="n">
        <f aca="false">COUNTIFS(母本单一被试!$K$2:$K$26,"有保留",母本单一被试!$L$2:$L$26,"无保留")</f>
        <v>0</v>
      </c>
      <c r="C15" s="20" t="n">
        <f aca="false">COUNTIFS(母本单一被试!$K$2:$K$26,"有保留",母本单一被试!$L$2:$L$26,"有保留")</f>
        <v>13</v>
      </c>
      <c r="D15" s="20" t="n">
        <f aca="false">COUNTIFS(母本单一被试!$K$2:$K$26,"有保留",母本单一被试!$L$2:$L$26,"不达标")</f>
        <v>1</v>
      </c>
      <c r="E15" s="21" t="n">
        <f aca="false">SUM(B15:D15)</f>
        <v>14</v>
      </c>
    </row>
    <row r="16" customFormat="false" ht="15" hidden="false" customHeight="true" outlineLevel="0" collapsed="false">
      <c r="A16" s="19" t="s">
        <v>85</v>
      </c>
      <c r="B16" s="20" t="n">
        <f aca="false">COUNTIFS(母本单一被试!$K$2:$K$26,"不达标",母本单一被试!$L$2:$L$26,"无保留")</f>
        <v>0</v>
      </c>
      <c r="C16" s="20" t="n">
        <f aca="false">COUNTIFS(母本单一被试!$K$2:$K$26,"不达标",母本单一被试!$L$2:$L$26,"有保留")</f>
        <v>0</v>
      </c>
      <c r="D16" s="20" t="n">
        <f aca="false">COUNTIFS(母本单一被试!$K$2:$K$26,"不达标",母本单一被试!$L$2:$L$26,"不达标")</f>
        <v>2</v>
      </c>
      <c r="E16" s="21" t="n">
        <f aca="false">SUM(B16:D16)</f>
        <v>2</v>
      </c>
    </row>
    <row r="17" customFormat="false" ht="15" hidden="false" customHeight="true" outlineLevel="0" collapsed="false">
      <c r="A17" s="17" t="s">
        <v>3</v>
      </c>
      <c r="B17" s="21" t="n">
        <f aca="false">SUM(B14:B16)</f>
        <v>7</v>
      </c>
      <c r="C17" s="21" t="n">
        <f aca="false">SUM(C14:C16)</f>
        <v>14</v>
      </c>
      <c r="D17" s="21" t="n">
        <f aca="false">SUM(D14:D16)</f>
        <v>4</v>
      </c>
      <c r="E17" s="21" t="n">
        <f aca="false">SUM(E14:E16)</f>
        <v>25</v>
      </c>
    </row>
    <row r="19" customFormat="false" ht="15" hidden="false" customHeight="true" outlineLevel="0" collapsed="false">
      <c r="A19" s="17" t="s">
        <v>182</v>
      </c>
    </row>
    <row r="20" customFormat="false" ht="15" hidden="false" customHeight="true" outlineLevel="0" collapsed="false">
      <c r="A20" s="18" t="s">
        <v>138</v>
      </c>
      <c r="B20" s="18" t="s">
        <v>139</v>
      </c>
    </row>
    <row r="21" customFormat="false" ht="15" hidden="false" customHeight="true" outlineLevel="0" collapsed="false">
      <c r="A21" s="19" t="s">
        <v>140</v>
      </c>
      <c r="B21" s="20" t="n">
        <f aca="false">COUNTIFS(母本单一被试!$K$2:$K$26,"&lt;&gt;不达标",母本单一被试!$H$2:$H$26,"强*")</f>
        <v>15</v>
      </c>
    </row>
    <row r="22" customFormat="false" ht="15" hidden="false" customHeight="true" outlineLevel="0" collapsed="false">
      <c r="A22" s="19" t="s">
        <v>141</v>
      </c>
      <c r="B22" s="20" t="n">
        <f aca="false">COUNTIFS(母本单一被试!$K$2:$K$26,"&lt;&gt;不达标",母本单一被试!$H$2:$H$26,"中等*")</f>
        <v>7</v>
      </c>
    </row>
    <row r="23" customFormat="false" ht="15" hidden="false" customHeight="true" outlineLevel="0" collapsed="false">
      <c r="A23" s="19" t="s">
        <v>183</v>
      </c>
      <c r="B23" s="20" t="n">
        <f aca="false">COUNTIFS(母本单一被试!$K$2:$K$26,"&lt;&gt;不达标",母本单一被试!$H$2:$H$26,"无证据*")</f>
        <v>1</v>
      </c>
    </row>
    <row r="24" customFormat="false" ht="15" hidden="false" customHeight="true" outlineLevel="0" collapsed="false">
      <c r="A24" s="17" t="s">
        <v>3</v>
      </c>
      <c r="B24" s="21" t="n">
        <f aca="false">SUM(B21:B23)</f>
        <v>23</v>
      </c>
      <c r="C24" s="20" t="str">
        <f aca="false">IF(B24=B9,"与3.0达标篇数相符","核对")</f>
        <v>与3.0达标篇数相符</v>
      </c>
    </row>
    <row r="26" customFormat="false" ht="15" hidden="false" customHeight="true" outlineLevel="0" collapsed="false">
      <c r="A26" s="17" t="s">
        <v>184</v>
      </c>
    </row>
    <row r="27" customFormat="false" ht="15" hidden="false" customHeight="true" outlineLevel="0" collapsed="false">
      <c r="A27" s="18" t="s">
        <v>129</v>
      </c>
      <c r="B27" s="2" t="s">
        <v>130</v>
      </c>
      <c r="C27" s="2" t="s">
        <v>131</v>
      </c>
    </row>
    <row r="28" customFormat="false" ht="15" hidden="false" customHeight="true" outlineLevel="0" collapsed="false">
      <c r="A28" s="19" t="s">
        <v>26</v>
      </c>
      <c r="B28" s="20" t="n">
        <f aca="false">COUNTIF(母本组间设计!$J$2:$J$4,"无保留")</f>
        <v>2</v>
      </c>
      <c r="C28" s="20" t="n">
        <f aca="false">COUNTIF(母本组间设计!$K$2:$K$4,"无保留")</f>
        <v>2</v>
      </c>
    </row>
    <row r="29" customFormat="false" ht="15" hidden="false" customHeight="true" outlineLevel="0" collapsed="false">
      <c r="A29" s="19" t="s">
        <v>18</v>
      </c>
      <c r="B29" s="20" t="n">
        <f aca="false">COUNTIF(母本组间设计!$J$2:$J$4,"有保留")</f>
        <v>1</v>
      </c>
      <c r="C29" s="20" t="n">
        <f aca="false">COUNTIF(母本组间设计!$K$2:$K$4,"有保留")</f>
        <v>1</v>
      </c>
    </row>
    <row r="30" customFormat="false" ht="15" hidden="false" customHeight="true" outlineLevel="0" collapsed="false">
      <c r="A30" s="19" t="s">
        <v>85</v>
      </c>
      <c r="B30" s="20" t="n">
        <f aca="false">COUNTIF(母本组间设计!$J$2:$J$4,"不达标")</f>
        <v>0</v>
      </c>
      <c r="C30" s="20" t="n">
        <f aca="false">COUNTIF(母本组间设计!$K$2:$K$4,"不达标")</f>
        <v>0</v>
      </c>
    </row>
    <row r="31" customFormat="false" ht="15" hidden="false" customHeight="true" outlineLevel="0" collapsed="false">
      <c r="A31" s="17" t="s">
        <v>146</v>
      </c>
      <c r="B31" s="21" t="n">
        <f aca="false">B28+B29</f>
        <v>3</v>
      </c>
      <c r="C31" s="21" t="n">
        <f aca="false">C28+C29</f>
        <v>3</v>
      </c>
    </row>
    <row r="33" customFormat="false" ht="15" hidden="false" customHeight="true" outlineLevel="0" collapsed="false">
      <c r="A33" s="17" t="s">
        <v>185</v>
      </c>
    </row>
    <row r="34" customFormat="false" ht="15" hidden="false" customHeight="true" outlineLevel="0" collapsed="false">
      <c r="A34" s="18" t="s">
        <v>148</v>
      </c>
      <c r="B34" s="18" t="s">
        <v>149</v>
      </c>
      <c r="C34" s="18" t="s">
        <v>150</v>
      </c>
    </row>
    <row r="35" customFormat="false" ht="45" hidden="false" customHeight="true" outlineLevel="0" collapsed="false">
      <c r="A35" s="22" t="s">
        <v>186</v>
      </c>
      <c r="B35" s="22" t="s">
        <v>187</v>
      </c>
      <c r="C35" s="22" t="s">
        <v>188</v>
      </c>
    </row>
    <row r="36" customFormat="false" ht="45" hidden="false" customHeight="true" outlineLevel="0" collapsed="false">
      <c r="A36" s="22" t="s">
        <v>189</v>
      </c>
      <c r="B36" s="22" t="s">
        <v>190</v>
      </c>
      <c r="C36" s="22" t="s">
        <v>153</v>
      </c>
    </row>
    <row r="37" customFormat="false" ht="45" hidden="false" customHeight="true" outlineLevel="0" collapsed="false">
      <c r="A37" s="22" t="s">
        <v>191</v>
      </c>
      <c r="B37" s="22" t="s">
        <v>192</v>
      </c>
      <c r="C37" s="19" t="s">
        <v>193</v>
      </c>
    </row>
    <row r="39" customFormat="false" ht="26.25" hidden="false" customHeight="true" outlineLevel="0" collapsed="false">
      <c r="A39" s="17" t="s">
        <v>194</v>
      </c>
    </row>
    <row r="40" customFormat="false" ht="31.5" hidden="false" customHeight="true" outlineLevel="0" collapsed="false">
      <c r="A40" s="23" t="s">
        <v>195</v>
      </c>
      <c r="B40" s="23"/>
      <c r="C40" s="23"/>
      <c r="D40" s="23"/>
      <c r="E40" s="23"/>
      <c r="F40" s="23"/>
    </row>
    <row r="41" customFormat="false" ht="31.5" hidden="false" customHeight="true" outlineLevel="0" collapsed="false">
      <c r="A41" s="23" t="s">
        <v>196</v>
      </c>
      <c r="B41" s="23"/>
      <c r="C41" s="23"/>
      <c r="D41" s="23"/>
      <c r="E41" s="23"/>
      <c r="F41" s="23"/>
    </row>
    <row r="42" customFormat="false" ht="31.5" hidden="false" customHeight="true" outlineLevel="0" collapsed="false">
      <c r="A42" s="23" t="s">
        <v>197</v>
      </c>
      <c r="B42" s="23"/>
      <c r="C42" s="23"/>
      <c r="D42" s="23"/>
      <c r="E42" s="23"/>
      <c r="F42" s="23"/>
    </row>
    <row r="43" customFormat="false" ht="31.5" hidden="false" customHeight="true" outlineLevel="0" collapsed="false">
      <c r="A43" s="16" t="s">
        <v>198</v>
      </c>
      <c r="B43" s="16"/>
      <c r="C43" s="16"/>
      <c r="D43" s="16"/>
      <c r="E43" s="16"/>
      <c r="F43" s="16"/>
    </row>
    <row r="45" customFormat="false" ht="15" hidden="false" customHeight="true" outlineLevel="0" collapsed="false">
      <c r="A45" s="17" t="s">
        <v>199</v>
      </c>
    </row>
    <row r="46" customFormat="false" ht="15" hidden="false" customHeight="true" outlineLevel="0" collapsed="false">
      <c r="A46" s="18" t="s">
        <v>129</v>
      </c>
      <c r="B46" s="2" t="s">
        <v>130</v>
      </c>
      <c r="C46" s="2" t="s">
        <v>131</v>
      </c>
    </row>
    <row r="47" customFormat="false" ht="15" hidden="false" customHeight="true" outlineLevel="0" collapsed="false">
      <c r="A47" s="19" t="s">
        <v>26</v>
      </c>
      <c r="B47" s="20" t="n">
        <f aca="false">COUNTIF(母本单一被试!$K$2:$K$26,"无保留")+COUNTIF(单一被试!$J:$J,"无保留")</f>
        <v>22</v>
      </c>
      <c r="C47" s="20" t="n">
        <f aca="false">COUNTIF(母本单一被试!$L$2:$L$26,"无保留")+COUNTIF(单一被试!$K:$K,"无保留")</f>
        <v>12</v>
      </c>
    </row>
    <row r="48" customFormat="false" ht="15" hidden="false" customHeight="true" outlineLevel="0" collapsed="false">
      <c r="A48" s="19" t="s">
        <v>18</v>
      </c>
      <c r="B48" s="20" t="n">
        <f aca="false">COUNTIF(母本单一被试!$K$2:$K$26,"有保留")+COUNTIF(单一被试!$J:$J,"有保留")</f>
        <v>36</v>
      </c>
      <c r="C48" s="20" t="n">
        <f aca="false">COUNTIF(母本单一被试!$L$2:$L$26,"有保留")+COUNTIF(单一被试!$K:$K,"有保留")</f>
        <v>44</v>
      </c>
    </row>
    <row r="49" customFormat="false" ht="15" hidden="false" customHeight="true" outlineLevel="0" collapsed="false">
      <c r="A49" s="19" t="s">
        <v>85</v>
      </c>
      <c r="B49" s="20" t="n">
        <f aca="false">COUNTIF(母本单一被试!$K$2:$K$26,"不达标")+COUNTIF(单一被试!$J:$J,"不达标")</f>
        <v>12</v>
      </c>
      <c r="C49" s="20" t="n">
        <f aca="false">COUNTIF(母本单一被试!$L$2:$L$26,"不达标")+COUNTIF(单一被试!$K:$K,"不达标")</f>
        <v>14</v>
      </c>
    </row>
    <row r="50" customFormat="false" ht="15" hidden="false" customHeight="true" outlineLevel="0" collapsed="false">
      <c r="A50" s="17" t="s">
        <v>146</v>
      </c>
      <c r="B50" s="21" t="n">
        <f aca="false">B47+B48</f>
        <v>58</v>
      </c>
      <c r="C50" s="21" t="n">
        <f aca="false">C47+C48</f>
        <v>56</v>
      </c>
    </row>
    <row r="51" customFormat="false" ht="15" hidden="false" customHeight="true" outlineLevel="0" collapsed="false">
      <c r="A51" s="17" t="s">
        <v>200</v>
      </c>
      <c r="B51" s="21" t="n">
        <f aca="false">SUM(B47:B49)</f>
        <v>70</v>
      </c>
      <c r="C51" s="21" t="n">
        <f aca="false">SUM(C47:C49)</f>
        <v>70</v>
      </c>
    </row>
  </sheetData>
  <mergeCells count="5">
    <mergeCell ref="A2:F2"/>
    <mergeCell ref="A40:F40"/>
    <mergeCell ref="A41:F41"/>
    <mergeCell ref="A42:F42"/>
    <mergeCell ref="A43:F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6"/>
    <col collapsed="false" customWidth="true" hidden="false" outlineLevel="0" max="3" min="3" style="14" width="16"/>
    <col collapsed="false" customWidth="true" hidden="false" outlineLevel="0" max="4" min="4" style="14" width="40"/>
    <col collapsed="false" customWidth="true" hidden="false" outlineLevel="0" max="5" min="5" style="14" width="16"/>
    <col collapsed="false" customWidth="true" hidden="false" outlineLevel="0" max="6" min="6" style="14" width="40"/>
    <col collapsed="false" customWidth="true" hidden="false" outlineLevel="0" max="7" min="7" style="14" width="22"/>
    <col collapsed="false" customWidth="true" hidden="false" outlineLevel="0" max="8" min="8" style="14" width="26"/>
    <col collapsed="false" customWidth="true" hidden="false" outlineLevel="0" max="9" min="9" style="14" width="36"/>
    <col collapsed="false" customWidth="true" hidden="false" outlineLevel="0" max="11" min="10" style="14" width="9"/>
    <col collapsed="false" customWidth="true" hidden="false" outlineLevel="0" max="12" min="12" style="14" width="10"/>
  </cols>
  <sheetData>
    <row r="1" customFormat="false" ht="30" hidden="false" customHeight="true" outlineLevel="0" collapsed="false">
      <c r="A1" s="25" t="s">
        <v>201</v>
      </c>
      <c r="B1" s="25" t="s">
        <v>11</v>
      </c>
      <c r="C1" s="9" t="s">
        <v>202</v>
      </c>
      <c r="D1" s="9" t="s">
        <v>203</v>
      </c>
      <c r="E1" s="9" t="s">
        <v>204</v>
      </c>
      <c r="F1" s="9" t="s">
        <v>205</v>
      </c>
      <c r="G1" s="25" t="s">
        <v>206</v>
      </c>
      <c r="H1" s="9" t="s">
        <v>207</v>
      </c>
      <c r="I1" s="25" t="s">
        <v>208</v>
      </c>
      <c r="J1" s="9" t="s">
        <v>209</v>
      </c>
      <c r="K1" s="9" t="s">
        <v>210</v>
      </c>
      <c r="L1" s="25" t="s">
        <v>211</v>
      </c>
    </row>
    <row r="2" customFormat="false" ht="26.25" hidden="false" customHeight="true" outlineLevel="0" collapsed="false">
      <c r="A2" s="11" t="s">
        <v>43</v>
      </c>
      <c r="B2" s="26" t="s">
        <v>212</v>
      </c>
      <c r="C2" s="27" t="s">
        <v>18</v>
      </c>
      <c r="D2" s="11" t="s">
        <v>213</v>
      </c>
      <c r="E2" s="27" t="s">
        <v>18</v>
      </c>
      <c r="F2" s="26" t="s">
        <v>214</v>
      </c>
      <c r="G2" s="11" t="s">
        <v>20</v>
      </c>
      <c r="H2" s="26" t="s">
        <v>215</v>
      </c>
      <c r="I2" s="11" t="s">
        <v>216</v>
      </c>
      <c r="J2" s="26" t="s">
        <v>18</v>
      </c>
      <c r="K2" s="26" t="s">
        <v>18</v>
      </c>
      <c r="L2" s="26" t="str">
        <f aca="false">IF(J2=K2,"一致","不一致")</f>
        <v>一致</v>
      </c>
    </row>
    <row r="3" customFormat="false" ht="26.25" hidden="false" customHeight="true" outlineLevel="0" collapsed="false">
      <c r="A3" s="28" t="s">
        <v>217</v>
      </c>
      <c r="B3" s="26" t="s">
        <v>218</v>
      </c>
      <c r="C3" s="29" t="s">
        <v>219</v>
      </c>
      <c r="D3" s="26" t="s">
        <v>220</v>
      </c>
      <c r="E3" s="27" t="s">
        <v>18</v>
      </c>
      <c r="F3" s="26" t="s">
        <v>221</v>
      </c>
      <c r="G3" s="30" t="s">
        <v>222</v>
      </c>
      <c r="H3" s="26" t="s">
        <v>223</v>
      </c>
      <c r="I3" s="26" t="s">
        <v>224</v>
      </c>
      <c r="J3" s="26" t="s">
        <v>26</v>
      </c>
      <c r="K3" s="26" t="s">
        <v>18</v>
      </c>
      <c r="L3" s="26" t="str">
        <f aca="false">IF(J3=K3,"一致","不一致")</f>
        <v>不一致</v>
      </c>
    </row>
    <row r="4" customFormat="false" ht="26.25" hidden="false" customHeight="true" outlineLevel="0" collapsed="false">
      <c r="A4" s="11" t="s">
        <v>45</v>
      </c>
      <c r="B4" s="26" t="s">
        <v>225</v>
      </c>
      <c r="C4" s="27" t="s">
        <v>18</v>
      </c>
      <c r="D4" s="11" t="s">
        <v>226</v>
      </c>
      <c r="E4" s="27" t="s">
        <v>18</v>
      </c>
      <c r="F4" s="11" t="s">
        <v>227</v>
      </c>
      <c r="G4" s="11" t="s">
        <v>20</v>
      </c>
      <c r="H4" s="26" t="s">
        <v>228</v>
      </c>
      <c r="I4" s="11" t="s">
        <v>229</v>
      </c>
      <c r="J4" s="26" t="s">
        <v>18</v>
      </c>
      <c r="K4" s="26" t="s">
        <v>18</v>
      </c>
      <c r="L4" s="26" t="str">
        <f aca="false">IF(J4=K4,"一致","不一致")</f>
        <v>一致</v>
      </c>
    </row>
    <row r="5" customFormat="false" ht="26.25" hidden="false" customHeight="true" outlineLevel="0" collapsed="false">
      <c r="A5" s="28" t="s">
        <v>230</v>
      </c>
      <c r="B5" s="26" t="s">
        <v>231</v>
      </c>
      <c r="C5" s="29" t="s">
        <v>26</v>
      </c>
      <c r="D5" s="11" t="s">
        <v>20</v>
      </c>
      <c r="E5" s="27" t="s">
        <v>18</v>
      </c>
      <c r="F5" s="11" t="s">
        <v>232</v>
      </c>
      <c r="G5" s="30" t="s">
        <v>233</v>
      </c>
      <c r="H5" s="26" t="s">
        <v>234</v>
      </c>
      <c r="I5" s="11" t="s">
        <v>235</v>
      </c>
      <c r="J5" s="26" t="s">
        <v>26</v>
      </c>
      <c r="K5" s="26" t="s">
        <v>18</v>
      </c>
      <c r="L5" s="26" t="str">
        <f aca="false">IF(J5=K5,"一致","不一致")</f>
        <v>不一致</v>
      </c>
    </row>
    <row r="6" customFormat="false" ht="26.25" hidden="false" customHeight="true" outlineLevel="0" collapsed="false">
      <c r="A6" s="11" t="s">
        <v>47</v>
      </c>
      <c r="B6" s="26" t="s">
        <v>236</v>
      </c>
      <c r="C6" s="27" t="s">
        <v>18</v>
      </c>
      <c r="D6" s="11" t="s">
        <v>237</v>
      </c>
      <c r="E6" s="27" t="s">
        <v>18</v>
      </c>
      <c r="F6" s="11" t="s">
        <v>237</v>
      </c>
      <c r="G6" s="11" t="s">
        <v>20</v>
      </c>
      <c r="H6" s="26" t="s">
        <v>238</v>
      </c>
      <c r="I6" s="11" t="s">
        <v>239</v>
      </c>
      <c r="J6" s="26" t="s">
        <v>18</v>
      </c>
      <c r="K6" s="26" t="s">
        <v>18</v>
      </c>
      <c r="L6" s="26" t="str">
        <f aca="false">IF(J6=K6,"一致","不一致")</f>
        <v>一致</v>
      </c>
    </row>
    <row r="7" customFormat="false" ht="26.25" hidden="false" customHeight="true" outlineLevel="0" collapsed="false">
      <c r="A7" s="28" t="s">
        <v>240</v>
      </c>
      <c r="B7" s="26" t="s">
        <v>236</v>
      </c>
      <c r="C7" s="29" t="s">
        <v>26</v>
      </c>
      <c r="D7" s="11" t="s">
        <v>20</v>
      </c>
      <c r="E7" s="27" t="s">
        <v>18</v>
      </c>
      <c r="F7" s="11" t="s">
        <v>241</v>
      </c>
      <c r="G7" s="30" t="s">
        <v>233</v>
      </c>
      <c r="H7" s="26" t="s">
        <v>242</v>
      </c>
      <c r="I7" s="26" t="s">
        <v>243</v>
      </c>
      <c r="J7" s="26" t="s">
        <v>26</v>
      </c>
      <c r="K7" s="26" t="s">
        <v>18</v>
      </c>
      <c r="L7" s="26" t="str">
        <f aca="false">IF(J7=K7,"一致","不一致")</f>
        <v>不一致</v>
      </c>
    </row>
    <row r="8" customFormat="false" ht="26.25" hidden="false" customHeight="true" outlineLevel="0" collapsed="false">
      <c r="A8" s="11" t="s">
        <v>49</v>
      </c>
      <c r="B8" s="26" t="s">
        <v>244</v>
      </c>
      <c r="C8" s="29" t="s">
        <v>26</v>
      </c>
      <c r="D8" s="11" t="s">
        <v>20</v>
      </c>
      <c r="E8" s="29" t="s">
        <v>26</v>
      </c>
      <c r="F8" s="11" t="s">
        <v>20</v>
      </c>
      <c r="G8" s="11" t="s">
        <v>20</v>
      </c>
      <c r="H8" s="26" t="s">
        <v>245</v>
      </c>
      <c r="I8" s="26" t="s">
        <v>246</v>
      </c>
      <c r="J8" s="26" t="s">
        <v>26</v>
      </c>
      <c r="K8" s="26" t="s">
        <v>26</v>
      </c>
      <c r="L8" s="26" t="str">
        <f aca="false">IF(J8=K8,"一致","不一致")</f>
        <v>一致</v>
      </c>
    </row>
    <row r="9" customFormat="false" ht="26.25" hidden="false" customHeight="true" outlineLevel="0" collapsed="false">
      <c r="A9" s="11" t="s">
        <v>50</v>
      </c>
      <c r="B9" s="26" t="s">
        <v>212</v>
      </c>
      <c r="C9" s="27" t="s">
        <v>18</v>
      </c>
      <c r="D9" s="11" t="s">
        <v>247</v>
      </c>
      <c r="E9" s="27" t="s">
        <v>18</v>
      </c>
      <c r="F9" s="26" t="s">
        <v>248</v>
      </c>
      <c r="G9" s="11" t="s">
        <v>20</v>
      </c>
      <c r="H9" s="26" t="s">
        <v>249</v>
      </c>
      <c r="I9" s="26" t="s">
        <v>250</v>
      </c>
      <c r="J9" s="26" t="s">
        <v>18</v>
      </c>
      <c r="K9" s="26" t="s">
        <v>18</v>
      </c>
      <c r="L9" s="26" t="str">
        <f aca="false">IF(J9=K9,"一致","不一致")</f>
        <v>一致</v>
      </c>
    </row>
    <row r="10" customFormat="false" ht="39" hidden="false" customHeight="true" outlineLevel="0" collapsed="false">
      <c r="A10" s="11" t="s">
        <v>51</v>
      </c>
      <c r="B10" s="26" t="s">
        <v>251</v>
      </c>
      <c r="C10" s="27" t="s">
        <v>18</v>
      </c>
      <c r="D10" s="26" t="s">
        <v>252</v>
      </c>
      <c r="E10" s="27" t="s">
        <v>18</v>
      </c>
      <c r="F10" s="26" t="s">
        <v>253</v>
      </c>
      <c r="G10" s="11" t="s">
        <v>20</v>
      </c>
      <c r="H10" s="26" t="s">
        <v>254</v>
      </c>
      <c r="I10" s="26" t="s">
        <v>255</v>
      </c>
      <c r="J10" s="26" t="s">
        <v>18</v>
      </c>
      <c r="K10" s="26" t="s">
        <v>18</v>
      </c>
      <c r="L10" s="26" t="str">
        <f aca="false">IF(J10=K10,"一致","不一致")</f>
        <v>一致</v>
      </c>
    </row>
    <row r="11" customFormat="false" ht="26.25" hidden="false" customHeight="true" outlineLevel="0" collapsed="false">
      <c r="A11" s="11" t="s">
        <v>52</v>
      </c>
      <c r="B11" s="26" t="s">
        <v>256</v>
      </c>
      <c r="C11" s="27" t="s">
        <v>18</v>
      </c>
      <c r="D11" s="11" t="s">
        <v>257</v>
      </c>
      <c r="E11" s="27" t="s">
        <v>18</v>
      </c>
      <c r="F11" s="11" t="s">
        <v>258</v>
      </c>
      <c r="G11" s="11" t="s">
        <v>20</v>
      </c>
      <c r="H11" s="26" t="s">
        <v>259</v>
      </c>
      <c r="I11" s="26" t="s">
        <v>260</v>
      </c>
      <c r="J11" s="26" t="s">
        <v>18</v>
      </c>
      <c r="K11" s="26" t="s">
        <v>18</v>
      </c>
      <c r="L11" s="26" t="str">
        <f aca="false">IF(J11=K11,"一致","不一致")</f>
        <v>一致</v>
      </c>
    </row>
    <row r="12" customFormat="false" ht="26.25" hidden="false" customHeight="true" outlineLevel="0" collapsed="false">
      <c r="A12" s="28" t="s">
        <v>261</v>
      </c>
      <c r="B12" s="26" t="s">
        <v>236</v>
      </c>
      <c r="C12" s="27" t="s">
        <v>18</v>
      </c>
      <c r="D12" s="26" t="s">
        <v>262</v>
      </c>
      <c r="E12" s="31" t="s">
        <v>263</v>
      </c>
      <c r="F12" s="26" t="s">
        <v>264</v>
      </c>
      <c r="G12" s="30" t="s">
        <v>265</v>
      </c>
      <c r="H12" s="26" t="s">
        <v>266</v>
      </c>
      <c r="I12" s="26" t="s">
        <v>267</v>
      </c>
      <c r="J12" s="26" t="s">
        <v>18</v>
      </c>
      <c r="K12" s="26" t="s">
        <v>85</v>
      </c>
      <c r="L12" s="26" t="str">
        <f aca="false">IF(J12=K12,"一致","不一致")</f>
        <v>不一致</v>
      </c>
    </row>
    <row r="13" customFormat="false" ht="26.25" hidden="false" customHeight="true" outlineLevel="0" collapsed="false">
      <c r="A13" s="11" t="s">
        <v>53</v>
      </c>
      <c r="B13" s="26" t="s">
        <v>268</v>
      </c>
      <c r="C13" s="27" t="s">
        <v>18</v>
      </c>
      <c r="D13" s="26" t="s">
        <v>269</v>
      </c>
      <c r="E13" s="27" t="s">
        <v>18</v>
      </c>
      <c r="F13" s="26" t="s">
        <v>270</v>
      </c>
      <c r="G13" s="11" t="s">
        <v>20</v>
      </c>
      <c r="H13" s="26" t="s">
        <v>238</v>
      </c>
      <c r="I13" s="11" t="s">
        <v>271</v>
      </c>
      <c r="J13" s="26" t="s">
        <v>18</v>
      </c>
      <c r="K13" s="26" t="s">
        <v>18</v>
      </c>
      <c r="L13" s="26" t="str">
        <f aca="false">IF(J13=K13,"一致","不一致")</f>
        <v>一致</v>
      </c>
    </row>
    <row r="14" customFormat="false" ht="39" hidden="false" customHeight="true" outlineLevel="0" collapsed="false">
      <c r="A14" s="11" t="s">
        <v>96</v>
      </c>
      <c r="B14" s="26" t="s">
        <v>272</v>
      </c>
      <c r="C14" s="31" t="s">
        <v>85</v>
      </c>
      <c r="D14" s="26" t="s">
        <v>273</v>
      </c>
      <c r="E14" s="31" t="s">
        <v>85</v>
      </c>
      <c r="F14" s="11" t="s">
        <v>274</v>
      </c>
      <c r="G14" s="11" t="s">
        <v>20</v>
      </c>
      <c r="H14" s="11" t="s">
        <v>20</v>
      </c>
      <c r="I14" s="11" t="s">
        <v>275</v>
      </c>
      <c r="J14" s="26" t="s">
        <v>85</v>
      </c>
      <c r="K14" s="26" t="s">
        <v>85</v>
      </c>
      <c r="L14" s="26" t="str">
        <f aca="false">IF(J14=K14,"一致","不一致")</f>
        <v>一致</v>
      </c>
    </row>
    <row r="15" customFormat="false" ht="39" hidden="false" customHeight="true" outlineLevel="0" collapsed="false">
      <c r="A15" s="11" t="s">
        <v>98</v>
      </c>
      <c r="B15" s="26" t="s">
        <v>276</v>
      </c>
      <c r="C15" s="31" t="s">
        <v>263</v>
      </c>
      <c r="D15" s="26" t="s">
        <v>277</v>
      </c>
      <c r="E15" s="31" t="s">
        <v>263</v>
      </c>
      <c r="F15" s="26" t="s">
        <v>278</v>
      </c>
      <c r="G15" s="11" t="s">
        <v>20</v>
      </c>
      <c r="H15" s="11" t="s">
        <v>20</v>
      </c>
      <c r="I15" s="26" t="s">
        <v>279</v>
      </c>
      <c r="J15" s="26" t="s">
        <v>85</v>
      </c>
      <c r="K15" s="26" t="s">
        <v>85</v>
      </c>
      <c r="L15" s="26" t="str">
        <f aca="false">IF(J15=K15,"一致","不一致")</f>
        <v>一致</v>
      </c>
    </row>
    <row r="16" customFormat="false" ht="26.25" hidden="false" customHeight="true" outlineLevel="0" collapsed="false">
      <c r="A16" s="11" t="s">
        <v>54</v>
      </c>
      <c r="B16" s="26" t="s">
        <v>280</v>
      </c>
      <c r="C16" s="27" t="s">
        <v>18</v>
      </c>
      <c r="D16" s="11" t="s">
        <v>281</v>
      </c>
      <c r="E16" s="27" t="s">
        <v>18</v>
      </c>
      <c r="F16" s="26" t="s">
        <v>282</v>
      </c>
      <c r="G16" s="11" t="s">
        <v>20</v>
      </c>
      <c r="H16" s="26" t="s">
        <v>283</v>
      </c>
      <c r="I16" s="11" t="s">
        <v>284</v>
      </c>
      <c r="J16" s="26" t="s">
        <v>18</v>
      </c>
      <c r="K16" s="26" t="s">
        <v>18</v>
      </c>
      <c r="L16" s="26" t="str">
        <f aca="false">IF(J16=K16,"一致","不一致")</f>
        <v>一致</v>
      </c>
    </row>
    <row r="17" customFormat="false" ht="26.25" hidden="false" customHeight="true" outlineLevel="0" collapsed="false">
      <c r="A17" s="28" t="s">
        <v>285</v>
      </c>
      <c r="B17" s="26" t="s">
        <v>286</v>
      </c>
      <c r="C17" s="31" t="s">
        <v>85</v>
      </c>
      <c r="D17" s="11" t="s">
        <v>287</v>
      </c>
      <c r="E17" s="27" t="s">
        <v>288</v>
      </c>
      <c r="F17" s="26" t="s">
        <v>289</v>
      </c>
      <c r="G17" s="30" t="s">
        <v>290</v>
      </c>
      <c r="H17" s="11" t="s">
        <v>20</v>
      </c>
      <c r="I17" s="11" t="s">
        <v>291</v>
      </c>
      <c r="J17" s="26" t="s">
        <v>85</v>
      </c>
      <c r="K17" s="26" t="s">
        <v>18</v>
      </c>
      <c r="L17" s="26" t="str">
        <f aca="false">IF(J17=K17,"一致","不一致")</f>
        <v>不一致</v>
      </c>
    </row>
    <row r="18" customFormat="false" ht="26.25" hidden="false" customHeight="true" outlineLevel="0" collapsed="false">
      <c r="A18" s="11" t="s">
        <v>56</v>
      </c>
      <c r="B18" s="26" t="s">
        <v>292</v>
      </c>
      <c r="C18" s="27" t="s">
        <v>18</v>
      </c>
      <c r="D18" s="26" t="s">
        <v>293</v>
      </c>
      <c r="E18" s="27" t="s">
        <v>18</v>
      </c>
      <c r="F18" s="11" t="s">
        <v>294</v>
      </c>
      <c r="G18" s="11" t="s">
        <v>20</v>
      </c>
      <c r="H18" s="26" t="s">
        <v>238</v>
      </c>
      <c r="I18" s="11" t="s">
        <v>295</v>
      </c>
      <c r="J18" s="26" t="s">
        <v>18</v>
      </c>
      <c r="K18" s="26" t="s">
        <v>18</v>
      </c>
      <c r="L18" s="26" t="str">
        <f aca="false">IF(J18=K18,"一致","不一致")</f>
        <v>一致</v>
      </c>
    </row>
    <row r="19" customFormat="false" ht="39" hidden="false" customHeight="true" outlineLevel="0" collapsed="false">
      <c r="A19" s="11" t="s">
        <v>57</v>
      </c>
      <c r="B19" s="26" t="s">
        <v>231</v>
      </c>
      <c r="C19" s="27" t="s">
        <v>18</v>
      </c>
      <c r="D19" s="11" t="s">
        <v>296</v>
      </c>
      <c r="E19" s="27" t="s">
        <v>18</v>
      </c>
      <c r="F19" s="11" t="s">
        <v>297</v>
      </c>
      <c r="G19" s="11" t="s">
        <v>20</v>
      </c>
      <c r="H19" s="26" t="s">
        <v>298</v>
      </c>
      <c r="I19" s="11" t="s">
        <v>299</v>
      </c>
      <c r="J19" s="26" t="s">
        <v>18</v>
      </c>
      <c r="K19" s="26" t="s">
        <v>18</v>
      </c>
      <c r="L19" s="26" t="str">
        <f aca="false">IF(J19=K19,"一致","不一致")</f>
        <v>一致</v>
      </c>
    </row>
    <row r="20" customFormat="false" ht="26.25" hidden="false" customHeight="true" outlineLevel="0" collapsed="false">
      <c r="A20" s="11" t="s">
        <v>58</v>
      </c>
      <c r="B20" s="26" t="s">
        <v>300</v>
      </c>
      <c r="C20" s="27" t="s">
        <v>18</v>
      </c>
      <c r="D20" s="26" t="s">
        <v>301</v>
      </c>
      <c r="E20" s="27" t="s">
        <v>18</v>
      </c>
      <c r="F20" s="26" t="s">
        <v>302</v>
      </c>
      <c r="G20" s="11" t="s">
        <v>20</v>
      </c>
      <c r="H20" s="26" t="s">
        <v>238</v>
      </c>
      <c r="I20" s="11" t="s">
        <v>303</v>
      </c>
      <c r="J20" s="26" t="s">
        <v>18</v>
      </c>
      <c r="K20" s="26" t="s">
        <v>18</v>
      </c>
      <c r="L20" s="26" t="str">
        <f aca="false">IF(J20=K20,"一致","不一致")</f>
        <v>一致</v>
      </c>
    </row>
    <row r="21" customFormat="false" ht="26.25" hidden="false" customHeight="true" outlineLevel="0" collapsed="false">
      <c r="A21" s="11" t="s">
        <v>59</v>
      </c>
      <c r="B21" s="26" t="s">
        <v>304</v>
      </c>
      <c r="C21" s="27" t="s">
        <v>18</v>
      </c>
      <c r="D21" s="26" t="s">
        <v>305</v>
      </c>
      <c r="E21" s="27" t="s">
        <v>18</v>
      </c>
      <c r="F21" s="26" t="s">
        <v>306</v>
      </c>
      <c r="G21" s="11" t="s">
        <v>20</v>
      </c>
      <c r="H21" s="26" t="s">
        <v>307</v>
      </c>
      <c r="I21" s="11" t="s">
        <v>308</v>
      </c>
      <c r="J21" s="26" t="s">
        <v>18</v>
      </c>
      <c r="K21" s="26" t="s">
        <v>18</v>
      </c>
      <c r="L21" s="26" t="str">
        <f aca="false">IF(J21=K21,"一致","不一致")</f>
        <v>一致</v>
      </c>
    </row>
    <row r="22" customFormat="false" ht="39" hidden="false" customHeight="true" outlineLevel="0" collapsed="false">
      <c r="A22" s="11" t="s">
        <v>100</v>
      </c>
      <c r="B22" s="26" t="s">
        <v>236</v>
      </c>
      <c r="C22" s="31" t="s">
        <v>85</v>
      </c>
      <c r="D22" s="11" t="s">
        <v>309</v>
      </c>
      <c r="E22" s="31" t="s">
        <v>85</v>
      </c>
      <c r="F22" s="26" t="s">
        <v>310</v>
      </c>
      <c r="G22" s="11" t="s">
        <v>20</v>
      </c>
      <c r="H22" s="11" t="s">
        <v>20</v>
      </c>
      <c r="I22" s="11" t="s">
        <v>311</v>
      </c>
      <c r="J22" s="26" t="s">
        <v>85</v>
      </c>
      <c r="K22" s="26" t="s">
        <v>85</v>
      </c>
      <c r="L22" s="26" t="str">
        <f aca="false">IF(J22=K22,"一致","不一致")</f>
        <v>一致</v>
      </c>
    </row>
    <row r="23" customFormat="false" ht="26.25" hidden="false" customHeight="true" outlineLevel="0" collapsed="false">
      <c r="A23" s="11" t="s">
        <v>60</v>
      </c>
      <c r="B23" s="26" t="s">
        <v>236</v>
      </c>
      <c r="C23" s="27" t="s">
        <v>18</v>
      </c>
      <c r="D23" s="11" t="s">
        <v>312</v>
      </c>
      <c r="E23" s="27" t="s">
        <v>18</v>
      </c>
      <c r="F23" s="11" t="s">
        <v>313</v>
      </c>
      <c r="G23" s="11" t="s">
        <v>20</v>
      </c>
      <c r="H23" s="26" t="s">
        <v>238</v>
      </c>
      <c r="I23" s="11" t="s">
        <v>314</v>
      </c>
      <c r="J23" s="26" t="s">
        <v>18</v>
      </c>
      <c r="K23" s="26" t="s">
        <v>18</v>
      </c>
      <c r="L23" s="26" t="str">
        <f aca="false">IF(J23=K23,"一致","不一致")</f>
        <v>一致</v>
      </c>
    </row>
    <row r="24" customFormat="false" ht="26.25" hidden="false" customHeight="true" outlineLevel="0" collapsed="false">
      <c r="A24" s="11" t="s">
        <v>102</v>
      </c>
      <c r="B24" s="26" t="s">
        <v>315</v>
      </c>
      <c r="C24" s="31" t="s">
        <v>85</v>
      </c>
      <c r="D24" s="26" t="s">
        <v>316</v>
      </c>
      <c r="E24" s="31" t="s">
        <v>85</v>
      </c>
      <c r="F24" s="26" t="s">
        <v>317</v>
      </c>
      <c r="G24" s="11" t="s">
        <v>20</v>
      </c>
      <c r="H24" s="11" t="s">
        <v>20</v>
      </c>
      <c r="I24" s="11" t="s">
        <v>318</v>
      </c>
      <c r="J24" s="26" t="s">
        <v>85</v>
      </c>
      <c r="K24" s="26" t="s">
        <v>85</v>
      </c>
      <c r="L24" s="26" t="str">
        <f aca="false">IF(J24=K24,"一致","不一致")</f>
        <v>一致</v>
      </c>
    </row>
    <row r="25" customFormat="false" ht="39" hidden="false" customHeight="true" outlineLevel="0" collapsed="false">
      <c r="A25" s="28" t="s">
        <v>319</v>
      </c>
      <c r="B25" s="26" t="s">
        <v>231</v>
      </c>
      <c r="C25" s="29" t="s">
        <v>26</v>
      </c>
      <c r="D25" s="11" t="s">
        <v>20</v>
      </c>
      <c r="E25" s="27" t="s">
        <v>18</v>
      </c>
      <c r="F25" s="11" t="s">
        <v>320</v>
      </c>
      <c r="G25" s="30" t="s">
        <v>233</v>
      </c>
      <c r="H25" s="26" t="s">
        <v>321</v>
      </c>
      <c r="I25" s="11" t="s">
        <v>322</v>
      </c>
      <c r="J25" s="26" t="s">
        <v>26</v>
      </c>
      <c r="K25" s="26" t="s">
        <v>18</v>
      </c>
      <c r="L25" s="26" t="str">
        <f aca="false">IF(J25=K25,"一致","不一致")</f>
        <v>不一致</v>
      </c>
    </row>
    <row r="26" customFormat="false" ht="26.25" hidden="false" customHeight="true" outlineLevel="0" collapsed="false">
      <c r="A26" s="11" t="s">
        <v>62</v>
      </c>
      <c r="B26" s="26" t="s">
        <v>323</v>
      </c>
      <c r="C26" s="27" t="s">
        <v>18</v>
      </c>
      <c r="D26" s="11" t="s">
        <v>324</v>
      </c>
      <c r="E26" s="27" t="s">
        <v>18</v>
      </c>
      <c r="F26" s="11" t="s">
        <v>325</v>
      </c>
      <c r="G26" s="11" t="s">
        <v>20</v>
      </c>
      <c r="H26" s="26" t="s">
        <v>238</v>
      </c>
      <c r="I26" s="11" t="s">
        <v>326</v>
      </c>
      <c r="J26" s="26" t="s">
        <v>18</v>
      </c>
      <c r="K26" s="26" t="s">
        <v>18</v>
      </c>
      <c r="L26" s="26" t="str">
        <f aca="false">IF(J26=K26,"一致","不一致")</f>
        <v>一致</v>
      </c>
    </row>
    <row r="27" customFormat="false" ht="26.25" hidden="false" customHeight="true" outlineLevel="0" collapsed="false">
      <c r="A27" s="28" t="s">
        <v>327</v>
      </c>
      <c r="B27" s="11" t="s">
        <v>328</v>
      </c>
      <c r="C27" s="29" t="s">
        <v>26</v>
      </c>
      <c r="D27" s="11" t="s">
        <v>20</v>
      </c>
      <c r="E27" s="27" t="s">
        <v>18</v>
      </c>
      <c r="F27" s="11" t="s">
        <v>329</v>
      </c>
      <c r="G27" s="30" t="s">
        <v>233</v>
      </c>
      <c r="H27" s="26" t="s">
        <v>330</v>
      </c>
      <c r="I27" s="26" t="s">
        <v>331</v>
      </c>
      <c r="J27" s="26" t="s">
        <v>26</v>
      </c>
      <c r="K27" s="26" t="s">
        <v>18</v>
      </c>
      <c r="L27" s="26" t="str">
        <f aca="false">IF(J27=K27,"一致","不一致")</f>
        <v>不一致</v>
      </c>
    </row>
    <row r="28" customFormat="false" ht="39" hidden="false" customHeight="true" outlineLevel="0" collapsed="false">
      <c r="A28" s="11" t="s">
        <v>64</v>
      </c>
      <c r="B28" s="26" t="s">
        <v>332</v>
      </c>
      <c r="C28" s="29" t="s">
        <v>333</v>
      </c>
      <c r="D28" s="26" t="s">
        <v>334</v>
      </c>
      <c r="E28" s="29" t="s">
        <v>335</v>
      </c>
      <c r="F28" s="26" t="s">
        <v>336</v>
      </c>
      <c r="G28" s="11" t="s">
        <v>20</v>
      </c>
      <c r="H28" s="26" t="s">
        <v>337</v>
      </c>
      <c r="I28" s="11" t="s">
        <v>338</v>
      </c>
      <c r="J28" s="26" t="s">
        <v>26</v>
      </c>
      <c r="K28" s="26" t="s">
        <v>26</v>
      </c>
      <c r="L28" s="26" t="str">
        <f aca="false">IF(J28=K28,"一致","不一致")</f>
        <v>一致</v>
      </c>
    </row>
    <row r="29" customFormat="false" ht="26.25" hidden="false" customHeight="true" outlineLevel="0" collapsed="false">
      <c r="A29" s="11" t="s">
        <v>104</v>
      </c>
      <c r="B29" s="26" t="s">
        <v>339</v>
      </c>
      <c r="C29" s="31" t="s">
        <v>85</v>
      </c>
      <c r="D29" s="26" t="s">
        <v>340</v>
      </c>
      <c r="E29" s="31" t="s">
        <v>85</v>
      </c>
      <c r="F29" s="26" t="s">
        <v>341</v>
      </c>
      <c r="G29" s="11" t="s">
        <v>20</v>
      </c>
      <c r="H29" s="11" t="s">
        <v>20</v>
      </c>
      <c r="I29" s="11" t="s">
        <v>342</v>
      </c>
      <c r="J29" s="26" t="s">
        <v>85</v>
      </c>
      <c r="K29" s="26" t="s">
        <v>85</v>
      </c>
      <c r="L29" s="26" t="str">
        <f aca="false">IF(J29=K29,"一致","不一致")</f>
        <v>一致</v>
      </c>
    </row>
    <row r="30" customFormat="false" ht="26.25" hidden="false" customHeight="true" outlineLevel="0" collapsed="false">
      <c r="A30" s="28" t="s">
        <v>343</v>
      </c>
      <c r="B30" s="26" t="s">
        <v>344</v>
      </c>
      <c r="C30" s="29" t="s">
        <v>345</v>
      </c>
      <c r="D30" s="11" t="s">
        <v>20</v>
      </c>
      <c r="E30" s="27" t="s">
        <v>18</v>
      </c>
      <c r="F30" s="26" t="s">
        <v>346</v>
      </c>
      <c r="G30" s="30" t="s">
        <v>233</v>
      </c>
      <c r="H30" s="26" t="s">
        <v>347</v>
      </c>
      <c r="I30" s="26" t="s">
        <v>348</v>
      </c>
      <c r="J30" s="26" t="s">
        <v>26</v>
      </c>
      <c r="K30" s="26" t="s">
        <v>18</v>
      </c>
      <c r="L30" s="26" t="str">
        <f aca="false">IF(J30=K30,"一致","不一致")</f>
        <v>不一致</v>
      </c>
    </row>
    <row r="31" customFormat="false" ht="26.25" hidden="false" customHeight="true" outlineLevel="0" collapsed="false">
      <c r="A31" s="11" t="s">
        <v>66</v>
      </c>
      <c r="B31" s="26" t="s">
        <v>349</v>
      </c>
      <c r="C31" s="27" t="s">
        <v>18</v>
      </c>
      <c r="D31" s="11" t="s">
        <v>350</v>
      </c>
      <c r="E31" s="27" t="s">
        <v>18</v>
      </c>
      <c r="F31" s="26" t="s">
        <v>248</v>
      </c>
      <c r="G31" s="11" t="s">
        <v>20</v>
      </c>
      <c r="H31" s="26" t="s">
        <v>351</v>
      </c>
      <c r="I31" s="26" t="s">
        <v>352</v>
      </c>
      <c r="J31" s="26" t="s">
        <v>18</v>
      </c>
      <c r="K31" s="26" t="s">
        <v>18</v>
      </c>
      <c r="L31" s="26" t="str">
        <f aca="false">IF(J31=K31,"一致","不一致")</f>
        <v>一致</v>
      </c>
    </row>
    <row r="32" customFormat="false" ht="39" hidden="false" customHeight="true" outlineLevel="0" collapsed="false">
      <c r="A32" s="11" t="s">
        <v>106</v>
      </c>
      <c r="B32" s="26" t="s">
        <v>236</v>
      </c>
      <c r="C32" s="31" t="s">
        <v>85</v>
      </c>
      <c r="D32" s="11" t="s">
        <v>353</v>
      </c>
      <c r="E32" s="31" t="s">
        <v>85</v>
      </c>
      <c r="F32" s="26" t="s">
        <v>354</v>
      </c>
      <c r="G32" s="11" t="s">
        <v>20</v>
      </c>
      <c r="H32" s="11" t="s">
        <v>20</v>
      </c>
      <c r="I32" s="11" t="s">
        <v>355</v>
      </c>
      <c r="J32" s="26" t="s">
        <v>85</v>
      </c>
      <c r="K32" s="26" t="s">
        <v>85</v>
      </c>
      <c r="L32" s="26" t="str">
        <f aca="false">IF(J32=K32,"一致","不一致")</f>
        <v>一致</v>
      </c>
    </row>
    <row r="33" customFormat="false" ht="26.25" hidden="false" customHeight="true" outlineLevel="0" collapsed="false">
      <c r="A33" s="11" t="s">
        <v>67</v>
      </c>
      <c r="B33" s="26" t="s">
        <v>356</v>
      </c>
      <c r="C33" s="29" t="s">
        <v>357</v>
      </c>
      <c r="D33" s="26" t="s">
        <v>358</v>
      </c>
      <c r="E33" s="29" t="s">
        <v>359</v>
      </c>
      <c r="F33" s="26" t="s">
        <v>360</v>
      </c>
      <c r="G33" s="11" t="s">
        <v>20</v>
      </c>
      <c r="H33" s="26" t="s">
        <v>361</v>
      </c>
      <c r="I33" s="11" t="s">
        <v>362</v>
      </c>
      <c r="J33" s="26" t="s">
        <v>26</v>
      </c>
      <c r="K33" s="26" t="s">
        <v>26</v>
      </c>
      <c r="L33" s="26" t="str">
        <f aca="false">IF(J33=K33,"一致","不一致")</f>
        <v>一致</v>
      </c>
    </row>
    <row r="34" customFormat="false" ht="26.25" hidden="false" customHeight="true" outlineLevel="0" collapsed="false">
      <c r="A34" s="11" t="s">
        <v>68</v>
      </c>
      <c r="B34" s="26" t="s">
        <v>363</v>
      </c>
      <c r="C34" s="27" t="s">
        <v>18</v>
      </c>
      <c r="D34" s="11" t="s">
        <v>364</v>
      </c>
      <c r="E34" s="27" t="s">
        <v>18</v>
      </c>
      <c r="F34" s="26" t="s">
        <v>270</v>
      </c>
      <c r="G34" s="11" t="s">
        <v>20</v>
      </c>
      <c r="H34" s="26" t="s">
        <v>238</v>
      </c>
      <c r="I34" s="26" t="s">
        <v>365</v>
      </c>
      <c r="J34" s="26" t="s">
        <v>18</v>
      </c>
      <c r="K34" s="26" t="s">
        <v>18</v>
      </c>
      <c r="L34" s="26" t="str">
        <f aca="false">IF(J34=K34,"一致","不一致")</f>
        <v>一致</v>
      </c>
    </row>
    <row r="35" customFormat="false" ht="37.5" hidden="false" customHeight="true" outlineLevel="0" collapsed="false">
      <c r="A35" s="28" t="s">
        <v>366</v>
      </c>
      <c r="B35" s="26" t="s">
        <v>367</v>
      </c>
      <c r="C35" s="29" t="s">
        <v>368</v>
      </c>
      <c r="D35" s="11" t="s">
        <v>369</v>
      </c>
      <c r="E35" s="27" t="s">
        <v>18</v>
      </c>
      <c r="F35" s="26" t="s">
        <v>370</v>
      </c>
      <c r="G35" s="30" t="s">
        <v>371</v>
      </c>
      <c r="H35" s="26" t="s">
        <v>238</v>
      </c>
      <c r="I35" s="26" t="s">
        <v>372</v>
      </c>
      <c r="J35" s="26" t="s">
        <v>26</v>
      </c>
      <c r="K35" s="26" t="s">
        <v>18</v>
      </c>
      <c r="L35" s="26" t="str">
        <f aca="false">IF(J35=K35,"一致","不一致")</f>
        <v>不一致</v>
      </c>
    </row>
    <row r="36" customFormat="false" ht="39" hidden="false" customHeight="true" outlineLevel="0" collapsed="false">
      <c r="A36" s="11" t="s">
        <v>108</v>
      </c>
      <c r="B36" s="26" t="s">
        <v>236</v>
      </c>
      <c r="C36" s="31" t="s">
        <v>263</v>
      </c>
      <c r="D36" s="11" t="s">
        <v>373</v>
      </c>
      <c r="E36" s="31" t="s">
        <v>263</v>
      </c>
      <c r="F36" s="26" t="s">
        <v>354</v>
      </c>
      <c r="G36" s="11" t="s">
        <v>20</v>
      </c>
      <c r="H36" s="11" t="s">
        <v>20</v>
      </c>
      <c r="I36" s="11" t="s">
        <v>374</v>
      </c>
      <c r="J36" s="26" t="s">
        <v>85</v>
      </c>
      <c r="K36" s="26" t="s">
        <v>85</v>
      </c>
      <c r="L36" s="26" t="str">
        <f aca="false">IF(J36=K36,"一致","不一致")</f>
        <v>一致</v>
      </c>
    </row>
    <row r="37" customFormat="false" ht="26.25" hidden="false" customHeight="true" outlineLevel="0" collapsed="false">
      <c r="A37" s="11" t="s">
        <v>70</v>
      </c>
      <c r="B37" s="26" t="s">
        <v>375</v>
      </c>
      <c r="C37" s="27" t="s">
        <v>18</v>
      </c>
      <c r="D37" s="26" t="s">
        <v>376</v>
      </c>
      <c r="E37" s="27" t="s">
        <v>18</v>
      </c>
      <c r="F37" s="26" t="s">
        <v>377</v>
      </c>
      <c r="G37" s="11" t="s">
        <v>20</v>
      </c>
      <c r="H37" s="26" t="s">
        <v>378</v>
      </c>
      <c r="I37" s="11" t="s">
        <v>379</v>
      </c>
      <c r="J37" s="26" t="s">
        <v>18</v>
      </c>
      <c r="K37" s="26" t="s">
        <v>18</v>
      </c>
      <c r="L37" s="26" t="str">
        <f aca="false">IF(J37=K37,"一致","不一致")</f>
        <v>一致</v>
      </c>
    </row>
    <row r="38" customFormat="false" ht="26.25" hidden="false" customHeight="true" outlineLevel="0" collapsed="false">
      <c r="A38" s="28" t="s">
        <v>380</v>
      </c>
      <c r="B38" s="26" t="s">
        <v>381</v>
      </c>
      <c r="C38" s="29" t="s">
        <v>26</v>
      </c>
      <c r="D38" s="11" t="s">
        <v>20</v>
      </c>
      <c r="E38" s="27" t="s">
        <v>18</v>
      </c>
      <c r="F38" s="26" t="s">
        <v>382</v>
      </c>
      <c r="G38" s="30" t="s">
        <v>233</v>
      </c>
      <c r="H38" s="26" t="s">
        <v>383</v>
      </c>
      <c r="I38" s="11" t="s">
        <v>384</v>
      </c>
      <c r="J38" s="26" t="s">
        <v>26</v>
      </c>
      <c r="K38" s="26" t="s">
        <v>18</v>
      </c>
      <c r="L38" s="26" t="str">
        <f aca="false">IF(J38=K38,"一致","不一致")</f>
        <v>不一致</v>
      </c>
    </row>
    <row r="39" customFormat="false" ht="39" hidden="false" customHeight="true" outlineLevel="0" collapsed="false">
      <c r="A39" s="11" t="s">
        <v>109</v>
      </c>
      <c r="B39" s="26" t="s">
        <v>385</v>
      </c>
      <c r="C39" s="31" t="s">
        <v>85</v>
      </c>
      <c r="D39" s="26" t="s">
        <v>386</v>
      </c>
      <c r="E39" s="31" t="s">
        <v>85</v>
      </c>
      <c r="F39" s="26" t="s">
        <v>387</v>
      </c>
      <c r="G39" s="11" t="s">
        <v>20</v>
      </c>
      <c r="H39" s="11" t="s">
        <v>20</v>
      </c>
      <c r="I39" s="11" t="s">
        <v>388</v>
      </c>
      <c r="J39" s="26" t="s">
        <v>85</v>
      </c>
      <c r="K39" s="26" t="s">
        <v>85</v>
      </c>
      <c r="L39" s="26" t="str">
        <f aca="false">IF(J39=K39,"一致","不一致")</f>
        <v>一致</v>
      </c>
    </row>
    <row r="40" customFormat="false" ht="26.25" hidden="false" customHeight="true" outlineLevel="0" collapsed="false">
      <c r="A40" s="11" t="s">
        <v>72</v>
      </c>
      <c r="B40" s="26" t="s">
        <v>389</v>
      </c>
      <c r="C40" s="27" t="s">
        <v>390</v>
      </c>
      <c r="D40" s="11" t="s">
        <v>391</v>
      </c>
      <c r="E40" s="27" t="s">
        <v>390</v>
      </c>
      <c r="F40" s="11" t="s">
        <v>392</v>
      </c>
      <c r="G40" s="11" t="s">
        <v>20</v>
      </c>
      <c r="H40" s="26" t="s">
        <v>393</v>
      </c>
      <c r="I40" s="11" t="s">
        <v>394</v>
      </c>
      <c r="J40" s="26" t="s">
        <v>18</v>
      </c>
      <c r="K40" s="26" t="s">
        <v>18</v>
      </c>
      <c r="L40" s="26" t="str">
        <f aca="false">IF(J40=K40,"一致","不一致")</f>
        <v>一致</v>
      </c>
    </row>
    <row r="41" customFormat="false" ht="26.25" hidden="false" customHeight="true" outlineLevel="0" collapsed="false">
      <c r="A41" s="28" t="s">
        <v>395</v>
      </c>
      <c r="B41" s="26" t="s">
        <v>396</v>
      </c>
      <c r="C41" s="29" t="s">
        <v>26</v>
      </c>
      <c r="D41" s="11" t="s">
        <v>20</v>
      </c>
      <c r="E41" s="27" t="s">
        <v>18</v>
      </c>
      <c r="F41" s="11" t="s">
        <v>397</v>
      </c>
      <c r="G41" s="30" t="s">
        <v>233</v>
      </c>
      <c r="H41" s="26" t="s">
        <v>398</v>
      </c>
      <c r="I41" s="11" t="s">
        <v>399</v>
      </c>
      <c r="J41" s="26" t="s">
        <v>26</v>
      </c>
      <c r="K41" s="26" t="s">
        <v>18</v>
      </c>
      <c r="L41" s="26" t="str">
        <f aca="false">IF(J41=K41,"一致","不一致")</f>
        <v>不一致</v>
      </c>
    </row>
    <row r="42" customFormat="false" ht="39" hidden="false" customHeight="true" outlineLevel="0" collapsed="false">
      <c r="A42" s="11" t="s">
        <v>74</v>
      </c>
      <c r="B42" s="26" t="s">
        <v>231</v>
      </c>
      <c r="C42" s="29" t="s">
        <v>26</v>
      </c>
      <c r="D42" s="11" t="s">
        <v>400</v>
      </c>
      <c r="E42" s="29" t="s">
        <v>401</v>
      </c>
      <c r="F42" s="26" t="s">
        <v>402</v>
      </c>
      <c r="G42" s="11" t="s">
        <v>20</v>
      </c>
      <c r="H42" s="26" t="s">
        <v>403</v>
      </c>
      <c r="I42" s="11" t="s">
        <v>404</v>
      </c>
      <c r="J42" s="26" t="s">
        <v>26</v>
      </c>
      <c r="K42" s="26" t="s">
        <v>26</v>
      </c>
      <c r="L42" s="26" t="str">
        <f aca="false">IF(J42=K42,"一致","不一致")</f>
        <v>一致</v>
      </c>
    </row>
    <row r="43" customFormat="false" ht="26.25" hidden="false" customHeight="true" outlineLevel="0" collapsed="false">
      <c r="A43" s="11" t="s">
        <v>111</v>
      </c>
      <c r="B43" s="26" t="s">
        <v>405</v>
      </c>
      <c r="C43" s="31" t="s">
        <v>85</v>
      </c>
      <c r="D43" s="26" t="s">
        <v>406</v>
      </c>
      <c r="E43" s="31" t="s">
        <v>85</v>
      </c>
      <c r="F43" s="26" t="s">
        <v>407</v>
      </c>
      <c r="G43" s="11" t="s">
        <v>20</v>
      </c>
      <c r="H43" s="11" t="s">
        <v>20</v>
      </c>
      <c r="I43" s="11" t="s">
        <v>408</v>
      </c>
      <c r="J43" s="26" t="s">
        <v>85</v>
      </c>
      <c r="K43" s="26" t="s">
        <v>85</v>
      </c>
      <c r="L43" s="26" t="str">
        <f aca="false">IF(J43=K43,"一致","不一致")</f>
        <v>一致</v>
      </c>
    </row>
    <row r="44" customFormat="false" ht="26.25" hidden="false" customHeight="true" outlineLevel="0" collapsed="false">
      <c r="A44" s="28" t="s">
        <v>409</v>
      </c>
      <c r="B44" s="26" t="s">
        <v>410</v>
      </c>
      <c r="C44" s="27" t="s">
        <v>18</v>
      </c>
      <c r="D44" s="26" t="s">
        <v>411</v>
      </c>
      <c r="E44" s="29" t="s">
        <v>335</v>
      </c>
      <c r="F44" s="26" t="s">
        <v>412</v>
      </c>
      <c r="G44" s="30" t="s">
        <v>413</v>
      </c>
      <c r="H44" s="26" t="s">
        <v>414</v>
      </c>
      <c r="I44" s="26" t="s">
        <v>415</v>
      </c>
      <c r="J44" s="26" t="s">
        <v>18</v>
      </c>
      <c r="K44" s="26" t="s">
        <v>26</v>
      </c>
      <c r="L44" s="26" t="str">
        <f aca="false">IF(J44=K44,"一致","不一致")</f>
        <v>不一致</v>
      </c>
    </row>
    <row r="45" customFormat="false" ht="39" hidden="false" customHeight="true" outlineLevel="0" collapsed="false">
      <c r="A45" s="26" t="s">
        <v>416</v>
      </c>
      <c r="B45" s="26" t="s">
        <v>417</v>
      </c>
      <c r="C45" s="27" t="s">
        <v>18</v>
      </c>
      <c r="D45" s="26" t="s">
        <v>418</v>
      </c>
      <c r="E45" s="27" t="s">
        <v>18</v>
      </c>
      <c r="F45" s="26" t="s">
        <v>419</v>
      </c>
      <c r="G45" s="11" t="s">
        <v>20</v>
      </c>
      <c r="H45" s="26" t="s">
        <v>420</v>
      </c>
      <c r="I45" s="11" t="s">
        <v>421</v>
      </c>
      <c r="J45" s="26" t="s">
        <v>18</v>
      </c>
      <c r="K45" s="26" t="s">
        <v>18</v>
      </c>
      <c r="L45" s="26" t="str">
        <f aca="false">IF(J45=K45,"一致","不一致")</f>
        <v>一致</v>
      </c>
    </row>
    <row r="46" customFormat="false" ht="39" hidden="false" customHeight="true" outlineLevel="0" collapsed="false">
      <c r="A46" s="26" t="s">
        <v>422</v>
      </c>
      <c r="B46" s="26" t="s">
        <v>423</v>
      </c>
      <c r="C46" s="27" t="s">
        <v>18</v>
      </c>
      <c r="D46" s="26" t="s">
        <v>424</v>
      </c>
      <c r="E46" s="27" t="s">
        <v>18</v>
      </c>
      <c r="F46" s="26" t="s">
        <v>425</v>
      </c>
      <c r="G46" s="11" t="s">
        <v>20</v>
      </c>
      <c r="H46" s="26" t="s">
        <v>238</v>
      </c>
      <c r="I46" s="11" t="s">
        <v>426</v>
      </c>
      <c r="J46" s="26" t="s">
        <v>18</v>
      </c>
      <c r="K46" s="26" t="s">
        <v>18</v>
      </c>
      <c r="L46" s="26" t="str">
        <f aca="false">IF(J46=K46,"一致","不一致")</f>
        <v>一致</v>
      </c>
    </row>
  </sheetData>
  <autoFilter ref="A1:L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8"/>
    <col collapsed="false" customWidth="true" hidden="false" outlineLevel="0" max="3" min="3" style="14" width="22"/>
    <col collapsed="false" customWidth="true" hidden="false" outlineLevel="0" max="4" min="4" style="14" width="44"/>
    <col collapsed="false" customWidth="true" hidden="false" outlineLevel="0" max="5" min="5" style="14" width="22"/>
    <col collapsed="false" customWidth="true" hidden="false" outlineLevel="0" max="6" min="6" style="14" width="36"/>
    <col collapsed="false" customWidth="true" hidden="false" outlineLevel="0" max="7" min="7" style="14" width="18"/>
    <col collapsed="false" customWidth="true" hidden="false" outlineLevel="0" max="8" min="8" style="14" width="40"/>
    <col collapsed="false" customWidth="true" hidden="false" outlineLevel="0" max="10" min="9" style="14" width="12"/>
  </cols>
  <sheetData>
    <row r="1" customFormat="false" ht="30" hidden="false" customHeight="true" outlineLevel="0" collapsed="false">
      <c r="A1" s="25" t="s">
        <v>201</v>
      </c>
      <c r="B1" s="25" t="s">
        <v>11</v>
      </c>
      <c r="C1" s="9" t="s">
        <v>202</v>
      </c>
      <c r="D1" s="9" t="s">
        <v>203</v>
      </c>
      <c r="E1" s="9" t="s">
        <v>204</v>
      </c>
      <c r="F1" s="9" t="s">
        <v>205</v>
      </c>
      <c r="G1" s="25" t="s">
        <v>206</v>
      </c>
      <c r="H1" s="25" t="s">
        <v>208</v>
      </c>
      <c r="I1" s="25" t="s">
        <v>427</v>
      </c>
      <c r="J1" s="25" t="s">
        <v>428</v>
      </c>
    </row>
    <row r="2" customFormat="false" ht="39" hidden="false" customHeight="true" outlineLevel="0" collapsed="false">
      <c r="A2" s="11" t="s">
        <v>80</v>
      </c>
      <c r="B2" s="26" t="s">
        <v>429</v>
      </c>
      <c r="C2" s="26" t="s">
        <v>26</v>
      </c>
      <c r="D2" s="11" t="s">
        <v>20</v>
      </c>
      <c r="E2" s="26" t="s">
        <v>26</v>
      </c>
      <c r="F2" s="11" t="s">
        <v>20</v>
      </c>
      <c r="G2" s="11" t="s">
        <v>20</v>
      </c>
      <c r="H2" s="26" t="s">
        <v>430</v>
      </c>
      <c r="I2" s="29" t="s">
        <v>26</v>
      </c>
      <c r="J2" s="29" t="s">
        <v>26</v>
      </c>
    </row>
    <row r="3" customFormat="false" ht="39" hidden="false" customHeight="true" outlineLevel="0" collapsed="false">
      <c r="A3" s="11" t="s">
        <v>117</v>
      </c>
      <c r="B3" s="26" t="s">
        <v>431</v>
      </c>
      <c r="C3" s="26" t="s">
        <v>432</v>
      </c>
      <c r="D3" s="26" t="s">
        <v>433</v>
      </c>
      <c r="E3" s="26" t="s">
        <v>434</v>
      </c>
      <c r="F3" s="26" t="s">
        <v>377</v>
      </c>
      <c r="G3" s="11" t="s">
        <v>20</v>
      </c>
      <c r="H3" s="26" t="s">
        <v>435</v>
      </c>
      <c r="I3" s="29" t="s">
        <v>26</v>
      </c>
      <c r="J3" s="31" t="s">
        <v>85</v>
      </c>
    </row>
    <row r="4" customFormat="false" ht="39" hidden="false" customHeight="true" outlineLevel="0" collapsed="false">
      <c r="A4" s="11" t="s">
        <v>119</v>
      </c>
      <c r="B4" s="26" t="s">
        <v>436</v>
      </c>
      <c r="C4" s="26" t="s">
        <v>85</v>
      </c>
      <c r="D4" s="26" t="s">
        <v>437</v>
      </c>
      <c r="E4" s="26" t="s">
        <v>85</v>
      </c>
      <c r="F4" s="26" t="s">
        <v>377</v>
      </c>
      <c r="G4" s="11" t="s">
        <v>20</v>
      </c>
      <c r="H4" s="11" t="s">
        <v>20</v>
      </c>
      <c r="I4" s="31" t="s">
        <v>85</v>
      </c>
      <c r="J4" s="31" t="s">
        <v>85</v>
      </c>
    </row>
    <row r="5" customFormat="false" ht="39" hidden="false" customHeight="true" outlineLevel="0" collapsed="false">
      <c r="A5" s="11" t="s">
        <v>121</v>
      </c>
      <c r="B5" s="26" t="s">
        <v>438</v>
      </c>
      <c r="C5" s="26" t="s">
        <v>85</v>
      </c>
      <c r="D5" s="11" t="s">
        <v>439</v>
      </c>
      <c r="E5" s="26" t="s">
        <v>85</v>
      </c>
      <c r="F5" s="26" t="s">
        <v>440</v>
      </c>
      <c r="G5" s="11" t="s">
        <v>20</v>
      </c>
      <c r="H5" s="26" t="s">
        <v>441</v>
      </c>
      <c r="I5" s="31" t="s">
        <v>85</v>
      </c>
      <c r="J5" s="31" t="s">
        <v>85</v>
      </c>
    </row>
    <row r="6" customFormat="false" ht="26.25" hidden="false" customHeight="true" outlineLevel="0" collapsed="false">
      <c r="A6" s="11" t="s">
        <v>123</v>
      </c>
      <c r="B6" s="26" t="s">
        <v>442</v>
      </c>
      <c r="C6" s="26" t="s">
        <v>85</v>
      </c>
      <c r="D6" s="26" t="s">
        <v>443</v>
      </c>
      <c r="E6" s="26" t="s">
        <v>85</v>
      </c>
      <c r="F6" s="26" t="s">
        <v>377</v>
      </c>
      <c r="G6" s="11" t="s">
        <v>20</v>
      </c>
      <c r="H6" s="11" t="s">
        <v>20</v>
      </c>
      <c r="I6" s="31" t="s">
        <v>85</v>
      </c>
      <c r="J6" s="31" t="s">
        <v>85</v>
      </c>
    </row>
    <row r="7" customFormat="false" ht="51.75" hidden="false" customHeight="true" outlineLevel="0" collapsed="false">
      <c r="A7" s="11" t="s">
        <v>81</v>
      </c>
      <c r="B7" s="26" t="s">
        <v>444</v>
      </c>
      <c r="C7" s="26" t="s">
        <v>445</v>
      </c>
      <c r="D7" s="26" t="s">
        <v>446</v>
      </c>
      <c r="E7" s="26" t="s">
        <v>447</v>
      </c>
      <c r="F7" s="26" t="s">
        <v>377</v>
      </c>
      <c r="G7" s="11" t="s">
        <v>20</v>
      </c>
      <c r="H7" s="26" t="s">
        <v>448</v>
      </c>
      <c r="I7" s="29" t="s">
        <v>26</v>
      </c>
      <c r="J7" s="27" t="s">
        <v>18</v>
      </c>
    </row>
    <row r="8" customFormat="false" ht="26.25" hidden="false" customHeight="true" outlineLevel="0" collapsed="false">
      <c r="A8" s="11" t="s">
        <v>124</v>
      </c>
      <c r="B8" s="26" t="s">
        <v>449</v>
      </c>
      <c r="C8" s="26" t="s">
        <v>335</v>
      </c>
      <c r="D8" s="26" t="s">
        <v>450</v>
      </c>
      <c r="E8" s="26" t="s">
        <v>335</v>
      </c>
      <c r="F8" s="26" t="s">
        <v>377</v>
      </c>
      <c r="G8" s="11" t="s">
        <v>20</v>
      </c>
      <c r="H8" s="26" t="s">
        <v>451</v>
      </c>
      <c r="I8" s="29" t="s">
        <v>26</v>
      </c>
      <c r="J8" s="29" t="s">
        <v>26</v>
      </c>
    </row>
    <row r="9" customFormat="false" ht="39" hidden="false" customHeight="true" outlineLevel="0" collapsed="false">
      <c r="A9" s="11" t="s">
        <v>82</v>
      </c>
      <c r="B9" s="11" t="s">
        <v>452</v>
      </c>
      <c r="C9" s="26" t="s">
        <v>26</v>
      </c>
      <c r="D9" s="26" t="s">
        <v>453</v>
      </c>
      <c r="E9" s="26" t="s">
        <v>26</v>
      </c>
      <c r="F9" s="11" t="s">
        <v>20</v>
      </c>
      <c r="G9" s="11" t="s">
        <v>20</v>
      </c>
      <c r="H9" s="26" t="s">
        <v>454</v>
      </c>
      <c r="I9" s="29" t="s">
        <v>26</v>
      </c>
      <c r="J9" s="29" t="s">
        <v>26</v>
      </c>
    </row>
    <row r="10" customFormat="false" ht="39" hidden="false" customHeight="true" outlineLevel="0" collapsed="false">
      <c r="A10" s="26" t="s">
        <v>455</v>
      </c>
      <c r="B10" s="26" t="s">
        <v>456</v>
      </c>
      <c r="C10" s="26" t="s">
        <v>335</v>
      </c>
      <c r="D10" s="26" t="s">
        <v>457</v>
      </c>
      <c r="E10" s="26" t="s">
        <v>335</v>
      </c>
      <c r="F10" s="26" t="s">
        <v>377</v>
      </c>
      <c r="G10" s="11" t="s">
        <v>20</v>
      </c>
      <c r="H10" s="26" t="s">
        <v>458</v>
      </c>
      <c r="I10" s="29" t="s">
        <v>26</v>
      </c>
      <c r="J10" s="29" t="s">
        <v>26</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0"/>
    <col collapsed="false" customWidth="true" hidden="false" outlineLevel="0" max="2" min="2" style="14" width="26"/>
    <col collapsed="false" customWidth="true" hidden="false" outlineLevel="0" max="3" min="3" style="14" width="16"/>
    <col collapsed="false" customWidth="true" hidden="false" outlineLevel="0" max="4" min="4" style="14" width="40"/>
    <col collapsed="false" customWidth="true" hidden="false" outlineLevel="0" max="5" min="5" style="14" width="16"/>
    <col collapsed="false" customWidth="true" hidden="false" outlineLevel="0" max="6" min="6" style="14" width="40"/>
    <col collapsed="false" customWidth="true" hidden="false" outlineLevel="0" max="7" min="7" style="14" width="22"/>
    <col collapsed="false" customWidth="true" hidden="false" outlineLevel="0" max="8" min="8" style="14" width="26"/>
    <col collapsed="false" customWidth="true" hidden="false" outlineLevel="0" max="9" min="9" style="14" width="36"/>
    <col collapsed="false" customWidth="true" hidden="false" outlineLevel="0" max="10" min="10" style="14" width="12"/>
    <col collapsed="false" customWidth="true" hidden="false" outlineLevel="0" max="12" min="11" style="14" width="9"/>
    <col collapsed="false" customWidth="true" hidden="false" outlineLevel="0" max="13" min="13" style="14" width="10"/>
  </cols>
  <sheetData>
    <row r="1" customFormat="false" ht="30" hidden="false" customHeight="true" outlineLevel="0" collapsed="false">
      <c r="A1" s="25" t="s">
        <v>201</v>
      </c>
      <c r="B1" s="25" t="s">
        <v>11</v>
      </c>
      <c r="C1" s="9" t="s">
        <v>202</v>
      </c>
      <c r="D1" s="9" t="s">
        <v>203</v>
      </c>
      <c r="E1" s="9" t="s">
        <v>204</v>
      </c>
      <c r="F1" s="9" t="s">
        <v>205</v>
      </c>
      <c r="G1" s="25" t="s">
        <v>206</v>
      </c>
      <c r="H1" s="9" t="s">
        <v>207</v>
      </c>
      <c r="I1" s="25" t="s">
        <v>208</v>
      </c>
      <c r="J1" s="9" t="s">
        <v>459</v>
      </c>
      <c r="K1" s="9" t="s">
        <v>209</v>
      </c>
      <c r="L1" s="9" t="s">
        <v>210</v>
      </c>
      <c r="M1" s="25" t="s">
        <v>211</v>
      </c>
    </row>
    <row r="2" customFormat="false" ht="26.25" hidden="false" customHeight="true" outlineLevel="0" collapsed="false">
      <c r="A2" s="11" t="s">
        <v>17</v>
      </c>
      <c r="B2" s="26" t="s">
        <v>460</v>
      </c>
      <c r="C2" s="27" t="s">
        <v>18</v>
      </c>
      <c r="D2" s="26" t="s">
        <v>461</v>
      </c>
      <c r="E2" s="27" t="s">
        <v>18</v>
      </c>
      <c r="F2" s="26" t="s">
        <v>462</v>
      </c>
      <c r="G2" s="11" t="s">
        <v>20</v>
      </c>
      <c r="H2" s="26" t="s">
        <v>238</v>
      </c>
      <c r="I2" s="11" t="s">
        <v>463</v>
      </c>
      <c r="J2" s="26" t="s">
        <v>464</v>
      </c>
      <c r="K2" s="26" t="s">
        <v>18</v>
      </c>
      <c r="L2" s="26" t="s">
        <v>18</v>
      </c>
      <c r="M2" s="10" t="str">
        <f aca="false">IF(K2=L2,"一致","不一致")</f>
        <v>一致</v>
      </c>
    </row>
    <row r="3" customFormat="false" ht="26.25" hidden="false" customHeight="true" outlineLevel="0" collapsed="false">
      <c r="A3" s="11" t="s">
        <v>21</v>
      </c>
      <c r="B3" s="26" t="s">
        <v>465</v>
      </c>
      <c r="C3" s="27" t="s">
        <v>466</v>
      </c>
      <c r="D3" s="11" t="s">
        <v>467</v>
      </c>
      <c r="E3" s="27" t="s">
        <v>466</v>
      </c>
      <c r="F3" s="11" t="s">
        <v>468</v>
      </c>
      <c r="G3" s="11" t="s">
        <v>20</v>
      </c>
      <c r="H3" s="26" t="s">
        <v>469</v>
      </c>
      <c r="I3" s="11" t="s">
        <v>470</v>
      </c>
      <c r="J3" s="26" t="s">
        <v>464</v>
      </c>
      <c r="K3" s="26" t="s">
        <v>18</v>
      </c>
      <c r="L3" s="26" t="s">
        <v>18</v>
      </c>
      <c r="M3" s="10" t="str">
        <f aca="false">IF(K3=L3,"一致","不一致")</f>
        <v>一致</v>
      </c>
    </row>
    <row r="4" customFormat="false" ht="39" hidden="false" customHeight="true" outlineLevel="0" collapsed="false">
      <c r="A4" s="11" t="s">
        <v>22</v>
      </c>
      <c r="B4" s="26" t="s">
        <v>471</v>
      </c>
      <c r="C4" s="27" t="s">
        <v>18</v>
      </c>
      <c r="D4" s="26" t="s">
        <v>472</v>
      </c>
      <c r="E4" s="27" t="s">
        <v>18</v>
      </c>
      <c r="F4" s="26" t="s">
        <v>473</v>
      </c>
      <c r="G4" s="11" t="s">
        <v>20</v>
      </c>
      <c r="H4" s="26" t="s">
        <v>238</v>
      </c>
      <c r="I4" s="11" t="s">
        <v>474</v>
      </c>
      <c r="J4" s="26" t="s">
        <v>464</v>
      </c>
      <c r="K4" s="26" t="s">
        <v>18</v>
      </c>
      <c r="L4" s="26" t="s">
        <v>18</v>
      </c>
      <c r="M4" s="10" t="str">
        <f aca="false">IF(K4=L4,"一致","不一致")</f>
        <v>一致</v>
      </c>
    </row>
    <row r="5" customFormat="false" ht="26.25" hidden="false" customHeight="true" outlineLevel="0" collapsed="false">
      <c r="A5" s="11" t="s">
        <v>23</v>
      </c>
      <c r="B5" s="11" t="s">
        <v>475</v>
      </c>
      <c r="C5" s="27" t="s">
        <v>18</v>
      </c>
      <c r="D5" s="26" t="s">
        <v>476</v>
      </c>
      <c r="E5" s="27" t="s">
        <v>18</v>
      </c>
      <c r="F5" s="26" t="s">
        <v>477</v>
      </c>
      <c r="G5" s="11" t="s">
        <v>20</v>
      </c>
      <c r="H5" s="26" t="s">
        <v>238</v>
      </c>
      <c r="I5" s="11" t="s">
        <v>478</v>
      </c>
      <c r="J5" s="26" t="s">
        <v>464</v>
      </c>
      <c r="K5" s="26" t="s">
        <v>18</v>
      </c>
      <c r="L5" s="26" t="s">
        <v>18</v>
      </c>
      <c r="M5" s="10" t="str">
        <f aca="false">IF(K5=L5,"一致","不一致")</f>
        <v>一致</v>
      </c>
    </row>
    <row r="6" customFormat="false" ht="26.25" hidden="false" customHeight="true" outlineLevel="0" collapsed="false">
      <c r="A6" s="11" t="s">
        <v>24</v>
      </c>
      <c r="B6" s="26" t="s">
        <v>479</v>
      </c>
      <c r="C6" s="27" t="s">
        <v>18</v>
      </c>
      <c r="D6" s="26" t="s">
        <v>480</v>
      </c>
      <c r="E6" s="27" t="s">
        <v>18</v>
      </c>
      <c r="F6" s="26" t="s">
        <v>481</v>
      </c>
      <c r="G6" s="11" t="s">
        <v>20</v>
      </c>
      <c r="H6" s="26" t="s">
        <v>238</v>
      </c>
      <c r="I6" s="11" t="s">
        <v>482</v>
      </c>
      <c r="J6" s="26" t="s">
        <v>464</v>
      </c>
      <c r="K6" s="26" t="s">
        <v>18</v>
      </c>
      <c r="L6" s="26" t="s">
        <v>18</v>
      </c>
      <c r="M6" s="10" t="str">
        <f aca="false">IF(K6=L6,"一致","不一致")</f>
        <v>一致</v>
      </c>
    </row>
    <row r="7" customFormat="false" ht="26.25" hidden="false" customHeight="true" outlineLevel="0" collapsed="false">
      <c r="A7" s="11" t="s">
        <v>25</v>
      </c>
      <c r="B7" s="11" t="s">
        <v>483</v>
      </c>
      <c r="C7" s="29" t="s">
        <v>26</v>
      </c>
      <c r="D7" s="11" t="s">
        <v>20</v>
      </c>
      <c r="E7" s="29" t="s">
        <v>26</v>
      </c>
      <c r="F7" s="11" t="s">
        <v>484</v>
      </c>
      <c r="G7" s="11" t="s">
        <v>20</v>
      </c>
      <c r="H7" s="26" t="s">
        <v>238</v>
      </c>
      <c r="I7" s="11" t="s">
        <v>485</v>
      </c>
      <c r="J7" s="26" t="s">
        <v>464</v>
      </c>
      <c r="K7" s="26" t="s">
        <v>26</v>
      </c>
      <c r="L7" s="26" t="s">
        <v>26</v>
      </c>
      <c r="M7" s="10" t="str">
        <f aca="false">IF(K7=L7,"一致","不一致")</f>
        <v>一致</v>
      </c>
    </row>
    <row r="8" customFormat="false" ht="39" hidden="false" customHeight="true" outlineLevel="0" collapsed="false">
      <c r="A8" s="11" t="s">
        <v>27</v>
      </c>
      <c r="B8" s="26" t="s">
        <v>486</v>
      </c>
      <c r="C8" s="27" t="s">
        <v>18</v>
      </c>
      <c r="D8" s="26" t="s">
        <v>487</v>
      </c>
      <c r="E8" s="27" t="s">
        <v>18</v>
      </c>
      <c r="F8" s="11" t="s">
        <v>488</v>
      </c>
      <c r="G8" s="11" t="s">
        <v>20</v>
      </c>
      <c r="H8" s="26" t="s">
        <v>489</v>
      </c>
      <c r="I8" s="11" t="s">
        <v>490</v>
      </c>
      <c r="J8" s="26" t="s">
        <v>464</v>
      </c>
      <c r="K8" s="26" t="s">
        <v>18</v>
      </c>
      <c r="L8" s="26" t="s">
        <v>18</v>
      </c>
      <c r="M8" s="10" t="str">
        <f aca="false">IF(K8=L8,"一致","不一致")</f>
        <v>一致</v>
      </c>
    </row>
    <row r="9" customFormat="false" ht="26.25" hidden="false" customHeight="true" outlineLevel="0" collapsed="false">
      <c r="A9" s="28" t="s">
        <v>28</v>
      </c>
      <c r="B9" s="11" t="s">
        <v>491</v>
      </c>
      <c r="C9" s="29" t="s">
        <v>492</v>
      </c>
      <c r="D9" s="11" t="s">
        <v>493</v>
      </c>
      <c r="E9" s="27" t="s">
        <v>494</v>
      </c>
      <c r="F9" s="11" t="s">
        <v>495</v>
      </c>
      <c r="G9" s="30" t="s">
        <v>222</v>
      </c>
      <c r="H9" s="26" t="s">
        <v>496</v>
      </c>
      <c r="I9" s="11" t="s">
        <v>497</v>
      </c>
      <c r="J9" s="26" t="s">
        <v>464</v>
      </c>
      <c r="K9" s="26" t="s">
        <v>26</v>
      </c>
      <c r="L9" s="26" t="s">
        <v>18</v>
      </c>
      <c r="M9" s="10" t="str">
        <f aca="false">IF(K9=L9,"一致","不一致")</f>
        <v>不一致</v>
      </c>
    </row>
    <row r="10" customFormat="false" ht="39" hidden="false" customHeight="true" outlineLevel="0" collapsed="false">
      <c r="A10" s="11" t="s">
        <v>29</v>
      </c>
      <c r="B10" s="26" t="s">
        <v>256</v>
      </c>
      <c r="C10" s="29" t="s">
        <v>26</v>
      </c>
      <c r="D10" s="11" t="s">
        <v>498</v>
      </c>
      <c r="E10" s="29" t="s">
        <v>26</v>
      </c>
      <c r="F10" s="11" t="s">
        <v>499</v>
      </c>
      <c r="G10" s="11" t="s">
        <v>20</v>
      </c>
      <c r="H10" s="26" t="s">
        <v>500</v>
      </c>
      <c r="I10" s="11" t="s">
        <v>501</v>
      </c>
      <c r="J10" s="26" t="s">
        <v>464</v>
      </c>
      <c r="K10" s="26" t="s">
        <v>26</v>
      </c>
      <c r="L10" s="26" t="s">
        <v>26</v>
      </c>
      <c r="M10" s="10" t="str">
        <f aca="false">IF(K10=L10,"一致","不一致")</f>
        <v>一致</v>
      </c>
    </row>
    <row r="11" customFormat="false" ht="26.25" hidden="false" customHeight="true" outlineLevel="0" collapsed="false">
      <c r="A11" s="11" t="s">
        <v>30</v>
      </c>
      <c r="B11" s="11" t="s">
        <v>502</v>
      </c>
      <c r="C11" s="27" t="s">
        <v>18</v>
      </c>
      <c r="D11" s="26" t="s">
        <v>503</v>
      </c>
      <c r="E11" s="27" t="s">
        <v>18</v>
      </c>
      <c r="F11" s="26" t="s">
        <v>504</v>
      </c>
      <c r="G11" s="11" t="s">
        <v>20</v>
      </c>
      <c r="H11" s="26" t="s">
        <v>505</v>
      </c>
      <c r="I11" s="26" t="s">
        <v>506</v>
      </c>
      <c r="J11" s="26" t="s">
        <v>464</v>
      </c>
      <c r="K11" s="26" t="s">
        <v>18</v>
      </c>
      <c r="L11" s="26" t="s">
        <v>18</v>
      </c>
      <c r="M11" s="10" t="str">
        <f aca="false">IF(K11=L11,"一致","不一致")</f>
        <v>一致</v>
      </c>
    </row>
    <row r="12" customFormat="false" ht="39" hidden="false" customHeight="true" outlineLevel="0" collapsed="false">
      <c r="A12" s="11" t="s">
        <v>31</v>
      </c>
      <c r="B12" s="26" t="s">
        <v>256</v>
      </c>
      <c r="C12" s="29" t="s">
        <v>26</v>
      </c>
      <c r="D12" s="11" t="s">
        <v>20</v>
      </c>
      <c r="E12" s="29" t="s">
        <v>26</v>
      </c>
      <c r="F12" s="11" t="s">
        <v>507</v>
      </c>
      <c r="G12" s="11" t="s">
        <v>20</v>
      </c>
      <c r="H12" s="26" t="s">
        <v>238</v>
      </c>
      <c r="I12" s="11" t="s">
        <v>508</v>
      </c>
      <c r="J12" s="26" t="s">
        <v>464</v>
      </c>
      <c r="K12" s="26" t="s">
        <v>26</v>
      </c>
      <c r="L12" s="26" t="s">
        <v>26</v>
      </c>
      <c r="M12" s="10" t="str">
        <f aca="false">IF(K12=L12,"一致","不一致")</f>
        <v>一致</v>
      </c>
    </row>
    <row r="13" customFormat="false" ht="39" hidden="false" customHeight="true" outlineLevel="0" collapsed="false">
      <c r="A13" s="11" t="s">
        <v>84</v>
      </c>
      <c r="B13" s="26" t="s">
        <v>509</v>
      </c>
      <c r="C13" s="31" t="s">
        <v>510</v>
      </c>
      <c r="D13" s="26" t="s">
        <v>511</v>
      </c>
      <c r="E13" s="31" t="s">
        <v>510</v>
      </c>
      <c r="F13" s="26" t="s">
        <v>512</v>
      </c>
      <c r="G13" s="11" t="s">
        <v>20</v>
      </c>
      <c r="H13" s="26" t="s">
        <v>513</v>
      </c>
      <c r="I13" s="26" t="s">
        <v>514</v>
      </c>
      <c r="J13" s="32" t="s">
        <v>464</v>
      </c>
      <c r="K13" s="26" t="s">
        <v>85</v>
      </c>
      <c r="L13" s="26" t="s">
        <v>85</v>
      </c>
      <c r="M13" s="10" t="str">
        <f aca="false">IF(K13=L13,"一致","不一致")</f>
        <v>一致</v>
      </c>
    </row>
    <row r="14" customFormat="false" ht="39" hidden="false" customHeight="true" outlineLevel="0" collapsed="false">
      <c r="A14" s="11" t="s">
        <v>32</v>
      </c>
      <c r="B14" s="26" t="s">
        <v>515</v>
      </c>
      <c r="C14" s="27" t="s">
        <v>18</v>
      </c>
      <c r="D14" s="11" t="s">
        <v>516</v>
      </c>
      <c r="E14" s="27" t="s">
        <v>18</v>
      </c>
      <c r="F14" s="11" t="s">
        <v>517</v>
      </c>
      <c r="G14" s="11" t="s">
        <v>20</v>
      </c>
      <c r="H14" s="26" t="s">
        <v>238</v>
      </c>
      <c r="I14" s="11" t="s">
        <v>518</v>
      </c>
      <c r="J14" s="26" t="s">
        <v>464</v>
      </c>
      <c r="K14" s="26" t="s">
        <v>18</v>
      </c>
      <c r="L14" s="26" t="s">
        <v>18</v>
      </c>
      <c r="M14" s="10" t="str">
        <f aca="false">IF(K14=L14,"一致","不一致")</f>
        <v>一致</v>
      </c>
    </row>
    <row r="15" customFormat="false" ht="39" hidden="false" customHeight="true" outlineLevel="0" collapsed="false">
      <c r="A15" s="28" t="s">
        <v>88</v>
      </c>
      <c r="B15" s="26" t="s">
        <v>519</v>
      </c>
      <c r="C15" s="29" t="s">
        <v>335</v>
      </c>
      <c r="D15" s="11" t="s">
        <v>520</v>
      </c>
      <c r="E15" s="31" t="s">
        <v>510</v>
      </c>
      <c r="F15" s="26" t="s">
        <v>521</v>
      </c>
      <c r="G15" s="30" t="s">
        <v>522</v>
      </c>
      <c r="H15" s="26" t="s">
        <v>523</v>
      </c>
      <c r="I15" s="26" t="s">
        <v>524</v>
      </c>
      <c r="J15" s="26" t="s">
        <v>464</v>
      </c>
      <c r="K15" s="26" t="s">
        <v>26</v>
      </c>
      <c r="L15" s="26" t="s">
        <v>85</v>
      </c>
      <c r="M15" s="10" t="str">
        <f aca="false">IF(K15=L15,"一致","不一致")</f>
        <v>不一致</v>
      </c>
    </row>
    <row r="16" customFormat="false" ht="51.75" hidden="false" customHeight="true" outlineLevel="0" collapsed="false">
      <c r="A16" s="11" t="s">
        <v>33</v>
      </c>
      <c r="B16" s="11" t="s">
        <v>525</v>
      </c>
      <c r="C16" s="29" t="s">
        <v>526</v>
      </c>
      <c r="D16" s="11" t="s">
        <v>527</v>
      </c>
      <c r="E16" s="29" t="s">
        <v>335</v>
      </c>
      <c r="F16" s="11" t="s">
        <v>528</v>
      </c>
      <c r="G16" s="11" t="s">
        <v>20</v>
      </c>
      <c r="H16" s="26" t="s">
        <v>238</v>
      </c>
      <c r="I16" s="11" t="s">
        <v>529</v>
      </c>
      <c r="J16" s="26" t="s">
        <v>464</v>
      </c>
      <c r="K16" s="26" t="s">
        <v>26</v>
      </c>
      <c r="L16" s="26" t="s">
        <v>26</v>
      </c>
      <c r="M16" s="10" t="str">
        <f aca="false">IF(K16=L16,"一致","不一致")</f>
        <v>一致</v>
      </c>
    </row>
    <row r="17" customFormat="false" ht="26.25" hidden="false" customHeight="true" outlineLevel="0" collapsed="false">
      <c r="A17" s="11" t="s">
        <v>90</v>
      </c>
      <c r="B17" s="26" t="s">
        <v>530</v>
      </c>
      <c r="C17" s="31" t="s">
        <v>510</v>
      </c>
      <c r="D17" s="26" t="s">
        <v>531</v>
      </c>
      <c r="E17" s="31" t="s">
        <v>85</v>
      </c>
      <c r="F17" s="26" t="s">
        <v>532</v>
      </c>
      <c r="G17" s="11" t="s">
        <v>20</v>
      </c>
      <c r="H17" s="11" t="s">
        <v>20</v>
      </c>
      <c r="I17" s="26" t="s">
        <v>533</v>
      </c>
      <c r="J17" s="32" t="s">
        <v>464</v>
      </c>
      <c r="K17" s="26" t="s">
        <v>85</v>
      </c>
      <c r="L17" s="26" t="s">
        <v>85</v>
      </c>
      <c r="M17" s="10" t="str">
        <f aca="false">IF(K17=L17,"一致","不一致")</f>
        <v>一致</v>
      </c>
    </row>
    <row r="18" customFormat="false" ht="26.25" hidden="false" customHeight="true" outlineLevel="0" collapsed="false">
      <c r="A18" s="11" t="s">
        <v>34</v>
      </c>
      <c r="B18" s="26" t="s">
        <v>534</v>
      </c>
      <c r="C18" s="27" t="s">
        <v>535</v>
      </c>
      <c r="D18" s="26" t="s">
        <v>536</v>
      </c>
      <c r="E18" s="27" t="s">
        <v>535</v>
      </c>
      <c r="F18" s="26" t="s">
        <v>537</v>
      </c>
      <c r="G18" s="11" t="s">
        <v>20</v>
      </c>
      <c r="H18" s="26" t="s">
        <v>538</v>
      </c>
      <c r="I18" s="11" t="s">
        <v>539</v>
      </c>
      <c r="J18" s="26" t="s">
        <v>464</v>
      </c>
      <c r="K18" s="26" t="s">
        <v>18</v>
      </c>
      <c r="L18" s="26" t="s">
        <v>18</v>
      </c>
      <c r="M18" s="10" t="str">
        <f aca="false">IF(K18=L18,"一致","不一致")</f>
        <v>一致</v>
      </c>
    </row>
    <row r="19" customFormat="false" ht="39" hidden="false" customHeight="true" outlineLevel="0" collapsed="false">
      <c r="A19" s="11" t="s">
        <v>35</v>
      </c>
      <c r="B19" s="26" t="s">
        <v>540</v>
      </c>
      <c r="C19" s="27" t="s">
        <v>18</v>
      </c>
      <c r="D19" s="26" t="s">
        <v>541</v>
      </c>
      <c r="E19" s="27" t="s">
        <v>18</v>
      </c>
      <c r="F19" s="26" t="s">
        <v>542</v>
      </c>
      <c r="G19" s="11" t="s">
        <v>20</v>
      </c>
      <c r="H19" s="26" t="s">
        <v>543</v>
      </c>
      <c r="I19" s="11" t="s">
        <v>544</v>
      </c>
      <c r="J19" s="26" t="s">
        <v>464</v>
      </c>
      <c r="K19" s="26" t="s">
        <v>18</v>
      </c>
      <c r="L19" s="26" t="s">
        <v>18</v>
      </c>
      <c r="M19" s="10" t="str">
        <f aca="false">IF(K19=L19,"一致","不一致")</f>
        <v>一致</v>
      </c>
    </row>
    <row r="20" customFormat="false" ht="26.25" hidden="false" customHeight="true" outlineLevel="0" collapsed="false">
      <c r="A20" s="11" t="s">
        <v>36</v>
      </c>
      <c r="B20" s="26" t="s">
        <v>231</v>
      </c>
      <c r="C20" s="29" t="s">
        <v>26</v>
      </c>
      <c r="D20" s="11" t="s">
        <v>20</v>
      </c>
      <c r="E20" s="29" t="s">
        <v>26</v>
      </c>
      <c r="F20" s="26" t="s">
        <v>545</v>
      </c>
      <c r="G20" s="11" t="s">
        <v>20</v>
      </c>
      <c r="H20" s="26" t="s">
        <v>238</v>
      </c>
      <c r="I20" s="11" t="s">
        <v>546</v>
      </c>
      <c r="J20" s="26" t="s">
        <v>464</v>
      </c>
      <c r="K20" s="26" t="s">
        <v>26</v>
      </c>
      <c r="L20" s="26" t="s">
        <v>26</v>
      </c>
      <c r="M20" s="10" t="str">
        <f aca="false">IF(K20=L20,"一致","不一致")</f>
        <v>一致</v>
      </c>
    </row>
    <row r="21" customFormat="false" ht="26.25" hidden="false" customHeight="true" outlineLevel="0" collapsed="false">
      <c r="A21" s="11" t="s">
        <v>37</v>
      </c>
      <c r="B21" s="26" t="s">
        <v>231</v>
      </c>
      <c r="C21" s="27" t="s">
        <v>18</v>
      </c>
      <c r="D21" s="11" t="s">
        <v>547</v>
      </c>
      <c r="E21" s="27" t="s">
        <v>18</v>
      </c>
      <c r="F21" s="11" t="s">
        <v>548</v>
      </c>
      <c r="G21" s="11" t="s">
        <v>20</v>
      </c>
      <c r="H21" s="26" t="s">
        <v>549</v>
      </c>
      <c r="I21" s="11" t="s">
        <v>550</v>
      </c>
      <c r="J21" s="26" t="s">
        <v>464</v>
      </c>
      <c r="K21" s="26" t="s">
        <v>18</v>
      </c>
      <c r="L21" s="26" t="s">
        <v>18</v>
      </c>
      <c r="M21" s="10" t="str">
        <f aca="false">IF(K21=L21,"一致","不一致")</f>
        <v>一致</v>
      </c>
    </row>
    <row r="22" customFormat="false" ht="39" hidden="false" customHeight="true" outlineLevel="0" collapsed="false">
      <c r="A22" s="11" t="s">
        <v>38</v>
      </c>
      <c r="B22" s="26" t="s">
        <v>551</v>
      </c>
      <c r="C22" s="27" t="s">
        <v>18</v>
      </c>
      <c r="D22" s="11" t="s">
        <v>552</v>
      </c>
      <c r="E22" s="27" t="s">
        <v>18</v>
      </c>
      <c r="F22" s="11" t="s">
        <v>553</v>
      </c>
      <c r="G22" s="11" t="s">
        <v>20</v>
      </c>
      <c r="H22" s="26" t="s">
        <v>554</v>
      </c>
      <c r="I22" s="26" t="s">
        <v>555</v>
      </c>
      <c r="J22" s="26" t="s">
        <v>464</v>
      </c>
      <c r="K22" s="26" t="s">
        <v>18</v>
      </c>
      <c r="L22" s="26" t="s">
        <v>18</v>
      </c>
      <c r="M22" s="10" t="str">
        <f aca="false">IF(K22=L22,"一致","不一致")</f>
        <v>一致</v>
      </c>
    </row>
    <row r="23" customFormat="false" ht="39" hidden="false" customHeight="true" outlineLevel="0" collapsed="false">
      <c r="A23" s="11" t="s">
        <v>39</v>
      </c>
      <c r="B23" s="26" t="s">
        <v>231</v>
      </c>
      <c r="C23" s="27" t="s">
        <v>18</v>
      </c>
      <c r="D23" s="11" t="s">
        <v>556</v>
      </c>
      <c r="E23" s="27" t="s">
        <v>18</v>
      </c>
      <c r="F23" s="11" t="s">
        <v>557</v>
      </c>
      <c r="G23" s="11" t="s">
        <v>20</v>
      </c>
      <c r="H23" s="26" t="s">
        <v>558</v>
      </c>
      <c r="I23" s="11" t="s">
        <v>559</v>
      </c>
      <c r="J23" s="26" t="s">
        <v>464</v>
      </c>
      <c r="K23" s="26" t="s">
        <v>18</v>
      </c>
      <c r="L23" s="26" t="s">
        <v>18</v>
      </c>
      <c r="M23" s="10" t="str">
        <f aca="false">IF(K23=L23,"一致","不一致")</f>
        <v>一致</v>
      </c>
    </row>
    <row r="24" customFormat="false" ht="26.25" hidden="false" customHeight="true" outlineLevel="0" collapsed="false">
      <c r="A24" s="11" t="s">
        <v>40</v>
      </c>
      <c r="B24" s="11" t="s">
        <v>560</v>
      </c>
      <c r="C24" s="29" t="s">
        <v>26</v>
      </c>
      <c r="D24" s="11" t="s">
        <v>20</v>
      </c>
      <c r="E24" s="29" t="s">
        <v>26</v>
      </c>
      <c r="F24" s="26" t="s">
        <v>561</v>
      </c>
      <c r="G24" s="11" t="s">
        <v>20</v>
      </c>
      <c r="H24" s="26" t="s">
        <v>238</v>
      </c>
      <c r="I24" s="11" t="s">
        <v>562</v>
      </c>
      <c r="J24" s="26" t="s">
        <v>464</v>
      </c>
      <c r="K24" s="26" t="s">
        <v>26</v>
      </c>
      <c r="L24" s="26" t="s">
        <v>26</v>
      </c>
      <c r="M24" s="10" t="str">
        <f aca="false">IF(K24=L24,"一致","不一致")</f>
        <v>一致</v>
      </c>
    </row>
    <row r="25" customFormat="false" ht="51.75" hidden="false" customHeight="true" outlineLevel="0" collapsed="false">
      <c r="A25" s="11" t="s">
        <v>41</v>
      </c>
      <c r="B25" s="26" t="s">
        <v>563</v>
      </c>
      <c r="C25" s="29" t="s">
        <v>26</v>
      </c>
      <c r="D25" s="11" t="s">
        <v>20</v>
      </c>
      <c r="E25" s="29" t="s">
        <v>26</v>
      </c>
      <c r="F25" s="26" t="s">
        <v>564</v>
      </c>
      <c r="G25" s="11" t="s">
        <v>20</v>
      </c>
      <c r="H25" s="26" t="s">
        <v>565</v>
      </c>
      <c r="I25" s="26" t="s">
        <v>566</v>
      </c>
      <c r="J25" s="26" t="s">
        <v>464</v>
      </c>
      <c r="K25" s="26" t="s">
        <v>26</v>
      </c>
      <c r="L25" s="26" t="s">
        <v>26</v>
      </c>
      <c r="M25" s="10" t="str">
        <f aca="false">IF(K25=L25,"一致","不一致")</f>
        <v>一致</v>
      </c>
    </row>
    <row r="26" customFormat="false" ht="39" hidden="false" customHeight="true" outlineLevel="0" collapsed="false">
      <c r="A26" s="28" t="s">
        <v>92</v>
      </c>
      <c r="B26" s="26" t="s">
        <v>567</v>
      </c>
      <c r="C26" s="27" t="s">
        <v>18</v>
      </c>
      <c r="D26" s="11" t="s">
        <v>568</v>
      </c>
      <c r="E26" s="31" t="s">
        <v>85</v>
      </c>
      <c r="F26" s="11" t="s">
        <v>569</v>
      </c>
      <c r="G26" s="30" t="s">
        <v>522</v>
      </c>
      <c r="H26" s="26" t="s">
        <v>238</v>
      </c>
      <c r="I26" s="11" t="s">
        <v>570</v>
      </c>
      <c r="J26" s="26" t="s">
        <v>464</v>
      </c>
      <c r="K26" s="26" t="s">
        <v>18</v>
      </c>
      <c r="L26" s="26" t="s">
        <v>85</v>
      </c>
      <c r="M26" s="10" t="str">
        <f aca="false">IF(K26=L26,"一致","不一致")</f>
        <v>不一致</v>
      </c>
    </row>
  </sheetData>
  <autoFilter ref="A1:M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4" width="30"/>
    <col collapsed="false" customWidth="true" hidden="false" outlineLevel="0" max="3" min="3" style="14" width="16"/>
    <col collapsed="false" customWidth="true" hidden="false" outlineLevel="0" max="4" min="4" style="14" width="46"/>
    <col collapsed="false" customWidth="true" hidden="false" outlineLevel="0" max="5" min="5" style="14" width="18"/>
    <col collapsed="false" customWidth="true" hidden="false" outlineLevel="0" max="6" min="6" style="14" width="46"/>
    <col collapsed="false" customWidth="true" hidden="false" outlineLevel="0" max="7" min="7" style="14" width="22"/>
    <col collapsed="false" customWidth="true" hidden="false" outlineLevel="0" max="8" min="8" style="14" width="36"/>
    <col collapsed="false" customWidth="true" hidden="false" outlineLevel="0" max="9" min="9" style="14" width="12"/>
    <col collapsed="false" customWidth="true" hidden="false" outlineLevel="0" max="11" min="10" style="14" width="9"/>
  </cols>
  <sheetData>
    <row r="1" customFormat="false" ht="30" hidden="false" customHeight="true" outlineLevel="0" collapsed="false">
      <c r="A1" s="25" t="s">
        <v>201</v>
      </c>
      <c r="B1" s="25" t="s">
        <v>11</v>
      </c>
      <c r="C1" s="9" t="s">
        <v>202</v>
      </c>
      <c r="D1" s="9" t="s">
        <v>203</v>
      </c>
      <c r="E1" s="9" t="s">
        <v>204</v>
      </c>
      <c r="F1" s="9" t="s">
        <v>205</v>
      </c>
      <c r="G1" s="25" t="s">
        <v>206</v>
      </c>
      <c r="H1" s="25" t="s">
        <v>208</v>
      </c>
      <c r="I1" s="9" t="s">
        <v>459</v>
      </c>
      <c r="J1" s="9" t="s">
        <v>209</v>
      </c>
      <c r="K1" s="9" t="s">
        <v>210</v>
      </c>
    </row>
    <row r="2" customFormat="false" ht="64.5" hidden="false" customHeight="true" outlineLevel="0" collapsed="false">
      <c r="A2" s="11" t="s">
        <v>113</v>
      </c>
      <c r="B2" s="26" t="s">
        <v>571</v>
      </c>
      <c r="C2" s="27" t="s">
        <v>18</v>
      </c>
      <c r="D2" s="26" t="s">
        <v>572</v>
      </c>
      <c r="E2" s="27" t="s">
        <v>573</v>
      </c>
      <c r="F2" s="26" t="s">
        <v>574</v>
      </c>
      <c r="G2" s="30" t="s">
        <v>575</v>
      </c>
      <c r="H2" s="26" t="s">
        <v>576</v>
      </c>
      <c r="I2" s="26" t="s">
        <v>464</v>
      </c>
      <c r="J2" s="26" t="s">
        <v>18</v>
      </c>
      <c r="K2" s="26" t="s">
        <v>18</v>
      </c>
    </row>
    <row r="3" customFormat="false" ht="39" hidden="false" customHeight="true" outlineLevel="0" collapsed="false">
      <c r="A3" s="11" t="s">
        <v>79</v>
      </c>
      <c r="B3" s="11" t="s">
        <v>577</v>
      </c>
      <c r="C3" s="29" t="s">
        <v>26</v>
      </c>
      <c r="D3" s="11" t="s">
        <v>578</v>
      </c>
      <c r="E3" s="29" t="s">
        <v>26</v>
      </c>
      <c r="F3" s="11" t="s">
        <v>20</v>
      </c>
      <c r="G3" s="11" t="s">
        <v>20</v>
      </c>
      <c r="H3" s="26" t="s">
        <v>579</v>
      </c>
      <c r="I3" s="26" t="s">
        <v>464</v>
      </c>
      <c r="J3" s="26" t="s">
        <v>26</v>
      </c>
      <c r="K3" s="26" t="s">
        <v>26</v>
      </c>
    </row>
    <row r="4" customFormat="false" ht="39" hidden="false" customHeight="true" outlineLevel="0" collapsed="false">
      <c r="A4" s="11" t="s">
        <v>115</v>
      </c>
      <c r="B4" s="26" t="s">
        <v>580</v>
      </c>
      <c r="C4" s="29" t="s">
        <v>335</v>
      </c>
      <c r="D4" s="26" t="s">
        <v>581</v>
      </c>
      <c r="E4" s="29" t="s">
        <v>335</v>
      </c>
      <c r="F4" s="26" t="s">
        <v>582</v>
      </c>
      <c r="G4" s="11" t="s">
        <v>20</v>
      </c>
      <c r="H4" s="26" t="s">
        <v>583</v>
      </c>
      <c r="I4" s="26" t="s">
        <v>464</v>
      </c>
      <c r="J4" s="26" t="s">
        <v>26</v>
      </c>
      <c r="K4" s="26" t="s">
        <v>26</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2026-10-25T18:37:46Z</dcterms:created>
  <dc:creator>openpyxl</dc:creator>
  <dc:description/>
  <dc:language>en-US</dc:language>
  <cp:lastModifiedBy/>
  <dcterms:modified xsi:type="dcterms:W3CDTF">2026-10-25T19:57:35Z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