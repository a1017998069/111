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最终纳入" sheetId="1" state="visible" r:id="rId3"/>
    <sheet name="融合情境筛选" sheetId="2" state="visible" r:id="rId4"/>
    <sheet name="汇总" sheetId="3" state="visible" r:id="rId5"/>
    <sheet name="母本汇总" sheetId="4" state="visible" r:id="rId6"/>
    <sheet name="单一被试" sheetId="5" state="visible" r:id="rId7"/>
    <sheet name="组间设计" sheetId="6" state="visible" r:id="rId8"/>
    <sheet name="母本单一被试" sheetId="7" state="visible" r:id="rId9"/>
    <sheet name="母本组间设计" sheetId="8" state="visible" r:id="rId10"/>
  </sheets>
  <definedNames>
    <definedName function="false" hidden="true" localSheetId="0" name="_xlnm._FilterDatabase" vbProcedure="false">最终纳入!$A$11:$F$93</definedName>
    <definedName function="false" hidden="true" localSheetId="4" name="_xlnm._FilterDatabase" vbProcedure="false">单一被试!$A$1:$L$46</definedName>
    <definedName function="false" hidden="true" localSheetId="6" name="_xlnm._FilterDatabase" vbProcedure="false">母本单一被试!$A$1:$M$26</definedName>
    <definedName function="false" hidden="true" localSheetId="7" name="_xlnm._FilterDatabase" vbProcedure="false">母本组间设计!$A$1:$K$4</definedName>
    <definedName function="false" hidden="true" localSheetId="5" name="_xlnm._FilterDatabase" vbProcedure="false">组间设计!$A$1:$J$10</definedName>
    <definedName function="false" hidden="true" localSheetId="1" name="_xlnm._FilterDatabase" vbProcedure="false">融合情境筛选!$A$10:$F$66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<sst xmlns="http://schemas.openxmlformats.org/spreadsheetml/2006/main" count="2058" uniqueCount="751">
  <si>
    <r>
      <rPr>
        <b val="true"/>
        <sz val="13"/>
        <rFont val="WenQuanYi Zen Hei"/>
        <family val="2"/>
      </rPr>
      <t xml:space="preserve">最终纳入清单（</t>
    </r>
    <r>
      <rPr>
        <b val="true"/>
        <sz val="13"/>
        <rFont val="Arial"/>
        <family val="0"/>
        <charset val="1"/>
      </rPr>
      <t xml:space="preserve">WWC 5.0 </t>
    </r>
    <r>
      <rPr>
        <b val="true"/>
        <sz val="13"/>
        <rFont val="WenQuanYi Zen Hei"/>
        <family val="2"/>
      </rPr>
      <t xml:space="preserve">达标 </t>
    </r>
    <r>
      <rPr>
        <b val="true"/>
        <sz val="13"/>
        <rFont val="Arial"/>
        <family val="0"/>
        <charset val="1"/>
      </rPr>
      <t xml:space="preserve">+ 0343</t>
    </r>
    <r>
      <rPr>
        <b val="true"/>
        <sz val="13"/>
        <rFont val="WenQuanYi Zen Hei"/>
        <family val="2"/>
      </rPr>
      <t xml:space="preserve">融合情境定义 </t>
    </r>
    <r>
      <rPr>
        <b val="true"/>
        <sz val="13"/>
        <rFont val="Arial"/>
        <family val="0"/>
        <charset val="1"/>
      </rPr>
      <t xml:space="preserve">+ </t>
    </r>
    <r>
      <rPr>
        <b val="true"/>
        <sz val="13"/>
        <rFont val="WenQuanYi Zen Hei"/>
        <family val="2"/>
      </rPr>
      <t xml:space="preserve">被试</t>
    </r>
    <r>
      <rPr>
        <b val="true"/>
        <sz val="13"/>
        <rFont val="Arial"/>
        <family val="0"/>
        <charset val="1"/>
      </rPr>
      <t xml:space="preserve">13</t>
    </r>
    <r>
      <rPr>
        <b val="true"/>
        <sz val="13"/>
        <rFont val="WenQuanYi Zen Hei"/>
        <family val="2"/>
      </rPr>
      <t xml:space="preserve">岁及以下；单一被试做</t>
    </r>
    <r>
      <rPr>
        <b val="true"/>
        <sz val="13"/>
        <rFont val="Arial"/>
        <family val="0"/>
        <charset val="1"/>
      </rPr>
      <t xml:space="preserve">Tau-U</t>
    </r>
    <r>
      <rPr>
        <b val="true"/>
        <sz val="13"/>
        <rFont val="WenQuanYi Zen Hei"/>
        <family val="2"/>
      </rPr>
      <t xml:space="preserve">元分析，组间设计做描述性报告）</t>
    </r>
  </si>
  <si>
    <t xml:space="preserve">单一被试</t>
  </si>
  <si>
    <t xml:space="preserve">组间设计</t>
  </si>
  <si>
    <t xml:space="preserve">合计</t>
  </si>
  <si>
    <t xml:space="preserve">母本 纳入</t>
  </si>
  <si>
    <t xml:space="preserve">新检索 纳入</t>
  </si>
  <si>
    <t xml:space="preserve">中文 纳入</t>
  </si>
  <si>
    <t xml:space="preserve">纳入合计</t>
  </si>
  <si>
    <t xml:space="preserve">排除合计</t>
  </si>
  <si>
    <t xml:space="preserve">评定总数</t>
  </si>
  <si>
    <t xml:space="preserve">来源</t>
  </si>
  <si>
    <t xml:space="preserve">设计</t>
  </si>
  <si>
    <t xml:space="preserve">研究</t>
  </si>
  <si>
    <r>
      <rPr>
        <b val="true"/>
        <sz val="10"/>
        <color rgb="FFFFFFFF"/>
        <rFont val="Arial"/>
        <family val="0"/>
        <charset val="1"/>
      </rPr>
      <t xml:space="preserve">5.0</t>
    </r>
    <r>
      <rPr>
        <b val="true"/>
        <sz val="10"/>
        <color rgb="FFFFFFFF"/>
        <rFont val="WenQuanYi Zen Hei"/>
        <family val="2"/>
      </rPr>
      <t xml:space="preserve">评级</t>
    </r>
  </si>
  <si>
    <t xml:space="preserve">决定</t>
  </si>
  <si>
    <t xml:space="preserve">排除理由</t>
  </si>
  <si>
    <t xml:space="preserve">母本</t>
  </si>
  <si>
    <t xml:space="preserve">01 Bock 2007</t>
  </si>
  <si>
    <t xml:space="preserve">有保留</t>
  </si>
  <si>
    <t xml:space="preserve">纳入</t>
  </si>
  <si>
    <t xml:space="preserve">—</t>
  </si>
  <si>
    <t xml:space="preserve">02 Chan &amp; O'Reilly 2008</t>
  </si>
  <si>
    <t xml:space="preserve">03 Cho &amp; Blair 2007</t>
  </si>
  <si>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</si>
  <si>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</si>
  <si>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t xml:space="preserve">09 Gena et al. 2006</t>
  </si>
  <si>
    <t xml:space="preserve">无保留</t>
  </si>
  <si>
    <t xml:space="preserve">10 Haley et al. 2010</t>
  </si>
  <si>
    <t xml:space="preserve">17 Kern &amp; Aldridge 2006</t>
  </si>
  <si>
    <t xml:space="preserve">21 Loftin et al. 2008</t>
  </si>
  <si>
    <t xml:space="preserve">22 Mason et al. 2014</t>
  </si>
  <si>
    <t xml:space="preserve">23 McCurdy &amp; Cole 2014</t>
  </si>
  <si>
    <t xml:space="preserve">24 Morrison et al. 2002</t>
  </si>
  <si>
    <t xml:space="preserve">25 Owen-DeSchryver et al. 2008</t>
  </si>
  <si>
    <t xml:space="preserve">26 Rosenbloom et al. 2016</t>
  </si>
  <si>
    <t xml:space="preserve">27 Sansosti &amp; Powell-Smith 2008</t>
  </si>
  <si>
    <t xml:space="preserve">新检索</t>
  </si>
  <si>
    <r>
      <rPr>
        <sz val="10"/>
        <rFont val="Arial"/>
        <family val="0"/>
        <charset val="1"/>
      </rPr>
      <t xml:space="preserve">001-A </t>
    </r>
    <r>
      <rPr>
        <sz val="10"/>
        <rFont val="WenQuanYi Zen Hei"/>
        <family val="2"/>
      </rPr>
      <t xml:space="preserve">多成分同伴介入干预对孤独症谱系障碍学前儿童社会沟通的影响</t>
    </r>
  </si>
  <si>
    <r>
      <rPr>
        <sz val="10"/>
        <rFont val="Arial"/>
        <family val="0"/>
        <charset val="1"/>
      </rPr>
      <t xml:space="preserve">002-A </t>
    </r>
    <r>
      <rPr>
        <sz val="10"/>
        <rFont val="WenQuanYi Zen Hei"/>
        <family val="2"/>
      </rPr>
      <t xml:space="preserve">学前课堂中的同伴介入共同注意干预</t>
    </r>
  </si>
  <si>
    <r>
      <rPr>
        <sz val="10"/>
        <rFont val="Arial"/>
        <family val="0"/>
        <charset val="1"/>
      </rPr>
      <t xml:space="preserve">003-A </t>
    </r>
    <r>
      <rPr>
        <sz val="10"/>
        <rFont val="WenQuanYi Zen Hei"/>
        <family val="2"/>
      </rPr>
      <t xml:space="preserve">通过合作性户外游戏增加孤独症学前儿童的社会互动</t>
    </r>
  </si>
  <si>
    <r>
      <rPr>
        <sz val="10"/>
        <rFont val="Arial"/>
        <family val="0"/>
        <charset val="1"/>
      </rPr>
      <t xml:space="preserve">005-A </t>
    </r>
    <r>
      <rPr>
        <sz val="10"/>
        <rFont val="WenQuanYi Zen Hei"/>
        <family val="2"/>
      </rPr>
      <t xml:space="preserve">超越行为形态：关注孤独症学生社交技能训练的功能性影响</t>
    </r>
  </si>
  <si>
    <r>
      <rPr>
        <sz val="10"/>
        <rFont val="Arial"/>
        <family val="0"/>
        <charset val="1"/>
      </rPr>
      <t xml:space="preserve">008-A </t>
    </r>
    <r>
      <rPr>
        <sz val="10"/>
        <rFont val="WenQuanYi Zen Hei"/>
        <family val="2"/>
      </rPr>
      <t xml:space="preserve">简报：加重毯对一名孤独症谱系障碍学生参与度的影响</t>
    </r>
  </si>
  <si>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</si>
  <si>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</si>
  <si>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r>
      <rPr>
        <sz val="10"/>
        <rFont val="Arial"/>
        <family val="0"/>
        <charset val="1"/>
      </rPr>
      <t xml:space="preserve">011-A </t>
    </r>
    <r>
      <rPr>
        <sz val="10"/>
        <rFont val="WenQuanYi Zen Hei"/>
        <family val="2"/>
      </rPr>
      <t xml:space="preserve">运用视觉日程表和工作系统提高普通班孤独症谱系学生的任务专注行为</t>
    </r>
  </si>
  <si>
    <r>
      <rPr>
        <sz val="10"/>
        <rFont val="Arial"/>
        <family val="0"/>
        <charset val="1"/>
      </rPr>
      <t xml:space="preserve">013-A </t>
    </r>
    <r>
      <rPr>
        <sz val="10"/>
        <rFont val="WenQuanYi Zen Hei"/>
        <family val="2"/>
      </rPr>
      <t xml:space="preserve">同伴介入干预在提升孤独症学生写作技能方面的有效性</t>
    </r>
  </si>
  <si>
    <r>
      <rPr>
        <sz val="10"/>
        <rFont val="Arial"/>
        <family val="0"/>
        <charset val="1"/>
      </rPr>
      <t xml:space="preserve">016-A </t>
    </r>
    <r>
      <rPr>
        <sz val="10"/>
        <rFont val="WenQuanYi Zen Hei"/>
        <family val="2"/>
      </rPr>
      <t xml:space="preserve">游戏时间到了：课间休息期间针对一名孤独症学生的同伴介入干预</t>
    </r>
  </si>
  <si>
    <r>
      <rPr>
        <sz val="10"/>
        <rFont val="Arial"/>
        <family val="0"/>
        <charset val="1"/>
      </rPr>
      <t xml:space="preserve">017-A </t>
    </r>
    <r>
      <rPr>
        <sz val="10"/>
        <rFont val="WenQuanYi Zen Hei"/>
        <family val="2"/>
      </rPr>
      <t xml:space="preserve">改编与未改编读物对有广泛支持需求学生理解表现影响的比较</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</si>
  <si>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</si>
  <si>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021-A </t>
    </r>
    <r>
      <rPr>
        <sz val="10"/>
        <rFont val="WenQuanYi Zen Hei"/>
        <family val="2"/>
      </rPr>
      <t xml:space="preserve">融合学前情境中同伴介入共同注意干预的效果</t>
    </r>
  </si>
  <si>
    <r>
      <rPr>
        <sz val="10"/>
        <rFont val="Arial"/>
        <family val="0"/>
        <charset val="1"/>
      </rPr>
      <t xml:space="preserve">022-A </t>
    </r>
    <r>
      <rPr>
        <sz val="10"/>
        <rFont val="WenQuanYi Zen Hei"/>
        <family val="2"/>
      </rPr>
      <t xml:space="preserve">教师引导的同伴介入干预对孤独症学前儿童社交游戏的影响</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</si>
  <si>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</si>
  <si>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027-A </t>
    </r>
    <r>
      <rPr>
        <sz val="10"/>
        <rFont val="WenQuanYi Zen Hei"/>
        <family val="2"/>
      </rPr>
      <t xml:space="preserve">在融合情境中运用合作性身体活动促进中国孤独症谱系障碍学前儿童的社会互动</t>
    </r>
  </si>
  <si>
    <r>
      <rPr>
        <sz val="10"/>
        <rFont val="Arial"/>
        <family val="0"/>
        <charset val="1"/>
      </rPr>
      <t xml:space="preserve">028-A </t>
    </r>
    <r>
      <rPr>
        <sz val="10"/>
        <rFont val="WenQuanYi Zen Hei"/>
        <family val="2"/>
      </rPr>
      <t xml:space="preserve">在学校课间运用自我管理教授孤独症谱系障碍学前儿童社会互动技能</t>
    </r>
  </si>
  <si>
    <r>
      <rPr>
        <sz val="10"/>
        <rFont val="Arial"/>
        <family val="0"/>
        <charset val="1"/>
      </rPr>
      <t xml:space="preserve">029-A </t>
    </r>
    <r>
      <rPr>
        <sz val="10"/>
        <rFont val="WenQuanYi Zen Hei"/>
        <family val="2"/>
      </rPr>
      <t xml:space="preserve">良好行为游戏：对融合情境中有和无特殊教育需要学生扰乱行为的影响</t>
    </r>
  </si>
  <si>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</si>
  <si>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r>
      <rPr>
        <sz val="10"/>
        <rFont val="Arial"/>
        <family val="0"/>
        <charset val="1"/>
      </rPr>
      <t xml:space="preserve">035-A </t>
    </r>
    <r>
      <rPr>
        <sz val="10"/>
        <rFont val="WenQuanYi Zen Hei"/>
        <family val="2"/>
      </rPr>
      <t xml:space="preserve">促进孤独症谱系障碍幼儿同伴社会互动的基于兴趣的综合干预方案</t>
    </r>
  </si>
  <si>
    <r>
      <rPr>
        <sz val="10"/>
        <rFont val="Arial"/>
        <family val="0"/>
        <charset val="1"/>
      </rPr>
      <t xml:space="preserve">036-A </t>
    </r>
    <r>
      <rPr>
        <sz val="10"/>
        <rFont val="WenQuanYi Zen Hei"/>
        <family val="2"/>
      </rPr>
      <t xml:space="preserve">在融合情境中由教学辅助人员实施视频提示以教授重度障碍学生学业内容</t>
    </r>
  </si>
  <si>
    <r>
      <rPr>
        <sz val="10"/>
        <rFont val="Arial"/>
        <family val="0"/>
        <charset val="1"/>
      </rPr>
      <t xml:space="preserve">037-A </t>
    </r>
    <r>
      <rPr>
        <sz val="10"/>
        <rFont val="WenQuanYi Zen Hei"/>
        <family val="2"/>
      </rPr>
      <t xml:space="preserve">运用同伴介入的乐高游戏干预改善融合情境中中国孤独症儿童的社会互动</t>
    </r>
  </si>
  <si>
    <r>
      <rPr>
        <sz val="10"/>
        <rFont val="Arial"/>
        <family val="0"/>
        <charset val="1"/>
      </rPr>
      <t xml:space="preserve">039-A </t>
    </r>
    <r>
      <rPr>
        <sz val="10"/>
        <rFont val="WenQuanYi Zen Hei"/>
        <family val="2"/>
      </rPr>
      <t xml:space="preserve">融合学前教育工作者通过远程医疗培训实施自然情境发展行为干预</t>
    </r>
  </si>
  <si>
    <r>
      <rPr>
        <sz val="10"/>
        <rFont val="Arial"/>
        <family val="0"/>
        <charset val="1"/>
      </rPr>
      <t xml:space="preserve">040-A </t>
    </r>
    <r>
      <rPr>
        <sz val="10"/>
        <rFont val="WenQuanYi Zen Hei"/>
        <family val="2"/>
      </rPr>
      <t xml:space="preserve">班级教师实施“社交站”干预以改善孤独症学生的言语发起与回应</t>
    </r>
  </si>
  <si>
    <r>
      <rPr>
        <sz val="10"/>
        <rFont val="Arial"/>
        <family val="0"/>
        <charset val="1"/>
      </rPr>
      <t xml:space="preserve">042-A </t>
    </r>
    <r>
      <rPr>
        <sz val="10"/>
        <rFont val="WenQuanYi Zen Hei"/>
        <family val="2"/>
      </rPr>
      <t xml:space="preserve">改善孤独症谱系障碍小学生的遵从行为</t>
    </r>
  </si>
  <si>
    <r>
      <rPr>
        <sz val="10"/>
        <rFont val="Arial"/>
        <family val="0"/>
        <charset val="1"/>
      </rPr>
      <t xml:space="preserve">043-A </t>
    </r>
    <r>
      <rPr>
        <sz val="10"/>
        <rFont val="WenQuanYi Zen Hei"/>
        <family val="2"/>
      </rPr>
      <t xml:space="preserve">专业发展改善中国一所融合幼儿园教师的嵌入式教学及儿童的学习成效</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</si>
  <si>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</si>
  <si>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046-A </t>
    </r>
    <r>
      <rPr>
        <sz val="10"/>
        <rFont val="WenQuanYi Zen Hei"/>
        <family val="2"/>
      </rPr>
      <t xml:space="preserve">在课间休息时促进孤独症谱系障碍及相关社交困难儿童的社会学习</t>
    </r>
  </si>
  <si>
    <t xml:space="preserve">中文</t>
  </si>
  <si>
    <r>
      <rPr>
        <sz val="10"/>
        <rFont val="WenQuanYi Zen Hei"/>
        <family val="2"/>
      </rPr>
      <t xml:space="preserve">张晓敏</t>
    </r>
    <r>
      <rPr>
        <sz val="10"/>
        <rFont val="Arial"/>
        <family val="0"/>
        <charset val="1"/>
      </rPr>
      <t xml:space="preserve">2026 </t>
    </r>
    <r>
      <rPr>
        <sz val="10"/>
        <rFont val="WenQuanYi Zen Hei"/>
        <family val="2"/>
      </rPr>
      <t xml:space="preserve">融合教育环境中人际同步音乐活动促进孤独症幼儿社会交往的干预研究（中文）</t>
    </r>
  </si>
  <si>
    <t xml:space="preserve">16 Kasari et al. 2012</t>
  </si>
  <si>
    <r>
      <rPr>
        <sz val="10"/>
        <rFont val="Arial"/>
        <family val="0"/>
        <charset val="1"/>
      </rPr>
      <t xml:space="preserve">001-B </t>
    </r>
    <r>
      <rPr>
        <sz val="10"/>
        <rFont val="WenQuanYi Zen Hei"/>
        <family val="2"/>
      </rPr>
      <t xml:space="preserve">实施支持对公立学校孤独症儿童社会参与干预应用的影响</t>
    </r>
  </si>
  <si>
    <r>
      <rPr>
        <sz val="10"/>
        <rFont val="Arial"/>
        <family val="0"/>
        <charset val="1"/>
      </rPr>
      <t xml:space="preserve">009-B “</t>
    </r>
    <r>
      <rPr>
        <sz val="10"/>
        <rFont val="WenQuanYi Zen Hei"/>
        <family val="2"/>
      </rPr>
      <t xml:space="preserve">重塑课间休息”干预改善孤独症谱系障碍儿童在校同伴互动：多地点随机试验</t>
    </r>
  </si>
  <si>
    <r>
      <rPr>
        <sz val="10"/>
        <rFont val="WenQuanYi Zen Hei"/>
        <family val="2"/>
      </rPr>
      <t xml:space="preserve">沙鹏</t>
    </r>
    <r>
      <rPr>
        <sz val="10"/>
        <rFont val="Arial"/>
        <family val="0"/>
        <charset val="1"/>
      </rPr>
      <t xml:space="preserve">2023 </t>
    </r>
    <r>
      <rPr>
        <sz val="10"/>
        <rFont val="WenQuanYi Zen Hei"/>
        <family val="2"/>
      </rPr>
      <t xml:space="preserve">基于同伴介入法的气排球运动干预对随班就读孤独症儿童社交能力的影响（中文）</t>
    </r>
  </si>
  <si>
    <t xml:space="preserve">06 Clemons et al. 2016</t>
  </si>
  <si>
    <t xml:space="preserve">排除</t>
  </si>
  <si>
    <r>
      <rPr>
        <sz val="10"/>
        <rFont val="WenQuanYi Zen Hei"/>
        <family val="2"/>
      </rPr>
      <t xml:space="preserve">被试年龄超过</t>
    </r>
    <r>
      <rPr>
        <sz val="10"/>
        <rFont val="Arial"/>
        <family val="0"/>
        <charset val="1"/>
      </rPr>
      <t xml:space="preserve">13</t>
    </r>
    <r>
      <rPr>
        <sz val="10"/>
        <rFont val="WenQuanYi Zen Hei"/>
        <family val="2"/>
      </rPr>
      <t xml:space="preserve">岁（</t>
    </r>
    <r>
      <rPr>
        <sz val="10"/>
        <rFont val="Arial"/>
        <family val="0"/>
        <charset val="1"/>
      </rPr>
      <t xml:space="preserve">Brad 17</t>
    </r>
    <r>
      <rPr>
        <sz val="10"/>
        <rFont val="WenQuanYi Zen Hei"/>
        <family val="2"/>
      </rPr>
      <t xml:space="preserve">岁）</t>
    </r>
  </si>
  <si>
    <t xml:space="preserve">07 Ganz &amp; Flores 2008</t>
  </si>
  <si>
    <r>
      <rPr>
        <sz val="10"/>
        <rFont val="WenQuanYi Zen Hei"/>
        <family val="2"/>
      </rPr>
      <t xml:space="preserve">不符合</t>
    </r>
    <r>
      <rPr>
        <sz val="10"/>
        <rFont val="Arial"/>
        <family val="0"/>
        <charset val="1"/>
      </rPr>
      <t xml:space="preserve">0343</t>
    </r>
    <r>
      <rPr>
        <sz val="10"/>
        <rFont val="WenQuanYi Zen Hei"/>
        <family val="2"/>
      </rPr>
      <t xml:space="preserve">融合情境定义：</t>
    </r>
    <r>
      <rPr>
        <sz val="10"/>
        <rFont val="Arial"/>
        <family val="0"/>
        <charset val="1"/>
      </rPr>
      <t xml:space="preserve">3</t>
    </r>
    <r>
      <rPr>
        <sz val="10"/>
        <rFont val="WenQuanYi Zen Hei"/>
        <family val="2"/>
      </rPr>
      <t xml:space="preserve">名被试中</t>
    </r>
    <r>
      <rPr>
        <sz val="10"/>
        <rFont val="Arial"/>
        <family val="0"/>
        <charset val="1"/>
      </rPr>
      <t xml:space="preserve">2</t>
    </r>
    <r>
      <rPr>
        <sz val="10"/>
        <rFont val="WenQuanYi Zen Hei"/>
        <family val="2"/>
      </rPr>
      <t xml:space="preserve">名不在该园就读，与普通儿童非同班同学；游戏小组在单独空教室进行</t>
    </r>
  </si>
  <si>
    <t xml:space="preserve">08 Gardner et al. 2014</t>
  </si>
  <si>
    <r>
      <rPr>
        <sz val="10"/>
        <rFont val="WenQuanYi Zen Hei"/>
        <family val="2"/>
      </rPr>
      <t xml:space="preserve">被试年龄超过</t>
    </r>
    <r>
      <rPr>
        <sz val="10"/>
        <rFont val="Arial"/>
        <family val="0"/>
        <charset val="1"/>
      </rPr>
      <t xml:space="preserve">13</t>
    </r>
    <r>
      <rPr>
        <sz val="10"/>
        <rFont val="WenQuanYi Zen Hei"/>
        <family val="2"/>
      </rPr>
      <t xml:space="preserve">岁（高中生）</t>
    </r>
  </si>
  <si>
    <t xml:space="preserve">11 Hochman et al. 2015</t>
  </si>
  <si>
    <t xml:space="preserve">12 Hughes et al. 2011</t>
  </si>
  <si>
    <t xml:space="preserve">不达标</t>
  </si>
  <si>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次会话内无所有层垂直重叠的探测点</t>
    </r>
  </si>
  <si>
    <t xml:space="preserve">13 Hughes et al. 2013</t>
  </si>
  <si>
    <t xml:space="preserve">14 Jung et al. 2008</t>
  </si>
  <si>
    <r>
      <rPr>
        <sz val="10"/>
        <rFont val="Arial"/>
        <family val="0"/>
        <charset val="1"/>
      </rPr>
      <t xml:space="preserve">5.0</t>
    </r>
    <r>
      <rPr>
        <sz val="10"/>
        <rFont val="WenQuanYi Zen Hei"/>
        <family val="2"/>
      </rPr>
      <t xml:space="preserve">不达标：以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</si>
  <si>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t xml:space="preserve">18 Koegel et al. 2012</t>
  </si>
  <si>
    <r>
      <rPr>
        <sz val="10"/>
        <rFont val="Arial"/>
        <family val="0"/>
        <charset val="1"/>
      </rPr>
      <t xml:space="preserve">5.0</t>
    </r>
    <r>
      <rPr>
        <sz val="10"/>
        <rFont val="WenQuanYi Zen Hei"/>
        <family val="2"/>
      </rPr>
      <t xml:space="preserve">不达标：违反同时性要求；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</si>
  <si>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t xml:space="preserve">19 Koegel et al. 2013</t>
  </si>
  <si>
    <r>
      <rPr>
        <sz val="10"/>
        <rFont val="WenQuanYi Zen Hei"/>
        <family val="2"/>
      </rPr>
      <t xml:space="preserve">被试年龄超过</t>
    </r>
    <r>
      <rPr>
        <sz val="10"/>
        <rFont val="Arial"/>
        <family val="0"/>
        <charset val="1"/>
      </rPr>
      <t xml:space="preserve">13</t>
    </r>
    <r>
      <rPr>
        <sz val="10"/>
        <rFont val="WenQuanYi Zen Hei"/>
        <family val="2"/>
      </rPr>
      <t xml:space="preserve">岁（</t>
    </r>
    <r>
      <rPr>
        <sz val="10"/>
        <rFont val="Arial"/>
        <family val="0"/>
        <charset val="1"/>
      </rPr>
      <t xml:space="preserve">14–16</t>
    </r>
    <r>
      <rPr>
        <sz val="10"/>
        <rFont val="WenQuanYi Zen Hei"/>
        <family val="2"/>
      </rPr>
      <t xml:space="preserve">岁）</t>
    </r>
  </si>
  <si>
    <t xml:space="preserve">28 Strain et al. 2011</t>
  </si>
  <si>
    <r>
      <rPr>
        <sz val="10"/>
        <rFont val="Arial"/>
        <family val="0"/>
        <charset val="1"/>
      </rPr>
      <t xml:space="preserve">5.0</t>
    </r>
    <r>
      <rPr>
        <sz val="10"/>
        <rFont val="WenQuanYi Zen Hei"/>
        <family val="2"/>
      </rPr>
      <t xml:space="preserve">不达标：</t>
    </r>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</si>
  <si>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006-A </t>
    </r>
    <r>
      <rPr>
        <sz val="10"/>
        <rFont val="WenQuanYi Zen Hei"/>
        <family val="2"/>
      </rPr>
      <t xml:space="preserve">提升孤独症谱系障碍学前学生的数感理解</t>
    </r>
  </si>
  <si>
    <r>
      <rPr>
        <sz val="10"/>
        <rFont val="WenQuanYi Zen Hei"/>
        <family val="2"/>
      </rPr>
      <t xml:space="preserve">不符合</t>
    </r>
    <r>
      <rPr>
        <sz val="10"/>
        <rFont val="Arial"/>
        <family val="0"/>
        <charset val="1"/>
      </rPr>
      <t xml:space="preserve">0343</t>
    </r>
    <r>
      <rPr>
        <sz val="10"/>
        <rFont val="WenQuanYi Zen Hei"/>
        <family val="2"/>
      </rPr>
      <t xml:space="preserve">融合情境定义：干预与测量在治疗室、走廊单独进行</t>
    </r>
  </si>
  <si>
    <r>
      <rPr>
        <sz val="10"/>
        <rFont val="Arial"/>
        <family val="0"/>
        <charset val="1"/>
      </rPr>
      <t xml:space="preserve">007-A </t>
    </r>
    <r>
      <rPr>
        <sz val="10"/>
        <rFont val="WenQuanYi Zen Hei"/>
        <family val="2"/>
      </rPr>
      <t xml:space="preserve">不同教学形式与环境下同伴支持安排对重度障碍学生的影响</t>
    </r>
  </si>
  <si>
    <r>
      <rPr>
        <sz val="10"/>
        <rFont val="WenQuanYi Zen Hei"/>
        <family val="2"/>
      </rPr>
      <t xml:space="preserve">被试年龄超过</t>
    </r>
    <r>
      <rPr>
        <sz val="10"/>
        <rFont val="Arial"/>
        <family val="0"/>
        <charset val="1"/>
      </rPr>
      <t xml:space="preserve">13</t>
    </r>
    <r>
      <rPr>
        <sz val="10"/>
        <rFont val="WenQuanYi Zen Hei"/>
        <family val="2"/>
      </rPr>
      <t xml:space="preserve">岁（</t>
    </r>
    <r>
      <rPr>
        <sz val="10"/>
        <rFont val="Arial"/>
        <family val="0"/>
        <charset val="1"/>
      </rPr>
      <t xml:space="preserve">Adrian 14</t>
    </r>
    <r>
      <rPr>
        <sz val="10"/>
        <rFont val="WenQuanYi Zen Hei"/>
        <family val="2"/>
      </rPr>
      <t xml:space="preserve">岁）</t>
    </r>
  </si>
  <si>
    <r>
      <rPr>
        <sz val="10"/>
        <rFont val="Arial"/>
        <family val="0"/>
        <charset val="1"/>
      </rPr>
      <t xml:space="preserve">012-A </t>
    </r>
    <r>
      <rPr>
        <sz val="10"/>
        <rFont val="WenQuanYi Zen Hei"/>
        <family val="2"/>
      </rPr>
      <t xml:space="preserve">运用结构分析指导重度障碍高中生的同伴支持安排</t>
    </r>
  </si>
  <si>
    <r>
      <rPr>
        <sz val="10"/>
        <rFont val="Arial"/>
        <family val="0"/>
        <charset val="1"/>
      </rPr>
      <t xml:space="preserve">5.0</t>
    </r>
    <r>
      <rPr>
        <sz val="10"/>
        <rFont val="WenQuanYi Zen Hei"/>
        <family val="2"/>
      </rPr>
      <t xml:space="preserve">不达标：前</t>
    </r>
    <r>
      <rPr>
        <sz val="10"/>
        <rFont val="Arial"/>
        <family val="0"/>
        <charset val="1"/>
      </rPr>
      <t xml:space="preserve">3</t>
    </r>
    <r>
      <rPr>
        <sz val="10"/>
        <rFont val="WenQuanYi Zen Hei"/>
        <family val="2"/>
      </rPr>
      <t xml:space="preserve">次会话中没有三层同时有探测点的会话</t>
    </r>
    <r>
      <rPr>
        <sz val="10"/>
        <rFont val="Arial"/>
        <family val="0"/>
        <charset val="1"/>
      </rPr>
      <t xml:space="preserve">(John 2</t>
    </r>
    <r>
      <rPr>
        <sz val="10"/>
        <rFont val="WenQuanYi Zen Hei"/>
        <family val="2"/>
      </rPr>
      <t xml:space="preserve">；</t>
    </r>
    <r>
      <rPr>
        <sz val="10"/>
        <rFont val="Arial"/>
        <family val="0"/>
        <charset val="1"/>
      </rPr>
      <t xml:space="preserve">Tyler</t>
    </r>
    <r>
      <rPr>
        <sz val="10"/>
        <rFont val="WenQuanYi Zen Hei"/>
        <family val="2"/>
      </rPr>
      <t xml:space="preserve">、</t>
    </r>
    <r>
      <rPr>
        <sz val="10"/>
        <rFont val="Arial"/>
        <family val="0"/>
        <charset val="1"/>
      </rPr>
      <t xml:space="preserve">Richard 1</t>
    </r>
    <r>
      <rPr>
        <sz val="10"/>
        <rFont val="WenQuanYi Zen Hei"/>
        <family val="2"/>
      </rPr>
      <t xml:space="preserve">、</t>
    </r>
    <r>
      <rPr>
        <sz val="10"/>
        <rFont val="Arial"/>
        <family val="0"/>
        <charset val="1"/>
      </rPr>
      <t xml:space="preserve">3)</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</si>
  <si>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</si>
  <si>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r>
      <rPr>
        <sz val="10"/>
        <rFont val="Arial"/>
        <family val="0"/>
        <charset val="1"/>
      </rPr>
      <t xml:space="preserve">5.0</t>
    </r>
    <r>
      <rPr>
        <sz val="10"/>
        <rFont val="WenQuanYi Zen Hei"/>
        <family val="2"/>
      </rPr>
      <t xml:space="preserve">不达标：</t>
    </r>
    <r>
      <rPr>
        <sz val="10"/>
        <rFont val="Arial"/>
        <family val="0"/>
        <charset val="1"/>
      </rPr>
      <t xml:space="preserve">IOA</t>
    </r>
    <r>
      <rPr>
        <sz val="10"/>
        <rFont val="WenQuanYi Zen Hei"/>
        <family val="2"/>
      </rPr>
      <t xml:space="preserve">未覆盖每一阶段</t>
    </r>
  </si>
  <si>
    <r>
      <rPr>
        <sz val="10"/>
        <rFont val="Arial"/>
        <family val="0"/>
        <charset val="1"/>
      </rPr>
      <t xml:space="preserve">015-A </t>
    </r>
    <r>
      <rPr>
        <sz val="10"/>
        <rFont val="WenQuanYi Zen Hei"/>
        <family val="2"/>
      </rPr>
      <t xml:space="preserve">运用结构分析探讨孤独症高中生同伴支持安排的效果与个别化</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</si>
  <si>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t>
    </r>
  </si>
  <si>
    <r>
      <rPr>
        <sz val="10"/>
        <rFont val="Arial"/>
        <family val="0"/>
        <charset val="1"/>
      </rPr>
      <t xml:space="preserve">018-A </t>
    </r>
    <r>
      <rPr>
        <sz val="10"/>
        <rFont val="WenQuanYi Zen Hei"/>
        <family val="2"/>
      </rPr>
      <t xml:space="preserve">多重表征促进孤独症学生早期代数思维的效果</t>
    </r>
  </si>
  <si>
    <r>
      <rPr>
        <sz val="10"/>
        <rFont val="WenQuanYi Zen Hei"/>
        <family val="2"/>
      </rPr>
      <t xml:space="preserve">不符合</t>
    </r>
    <r>
      <rPr>
        <sz val="10"/>
        <rFont val="Arial"/>
        <family val="0"/>
        <charset val="1"/>
      </rPr>
      <t xml:space="preserve">0343</t>
    </r>
    <r>
      <rPr>
        <sz val="10"/>
        <rFont val="WenQuanYi Zen Hei"/>
        <family val="2"/>
      </rPr>
      <t xml:space="preserve">融合情境定义：研究者个别化教学，无普通同学共享活动</t>
    </r>
  </si>
  <si>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</si>
  <si>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次会话内无三层垂直重叠的探测点；同上</t>
    </r>
  </si>
  <si>
    <r>
      <rPr>
        <sz val="10"/>
        <rFont val="Arial"/>
        <family val="0"/>
        <charset val="1"/>
      </rPr>
      <t xml:space="preserve">026-A </t>
    </r>
    <r>
      <rPr>
        <sz val="10"/>
        <rFont val="WenQuanYi Zen Hei"/>
        <family val="2"/>
      </rPr>
      <t xml:space="preserve">运用三级视频示范模型向一名孤独症幼儿教授身体活动：一项试点研究</t>
    </r>
  </si>
  <si>
    <r>
      <rPr>
        <sz val="10"/>
        <rFont val="Arial"/>
        <family val="0"/>
        <charset val="1"/>
      </rPr>
      <t xml:space="preserve">5.0</t>
    </r>
    <r>
      <rPr>
        <sz val="10"/>
        <rFont val="WenQuanYi Zen Hei"/>
        <family val="2"/>
      </rPr>
      <t xml:space="preserve">不达标：按</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条款也不满足：无</t>
    </r>
    <r>
      <rPr>
        <sz val="10"/>
        <rFont val="Arial"/>
        <family val="0"/>
        <charset val="1"/>
      </rPr>
      <t xml:space="preserve">3</t>
    </r>
    <r>
      <rPr>
        <sz val="10"/>
        <rFont val="WenQuanYi Zen Hei"/>
        <family val="2"/>
      </rPr>
      <t xml:space="preserve">个时间点上对同一干预的效果展示</t>
    </r>
  </si>
  <si>
    <r>
      <rPr>
        <sz val="10"/>
        <rFont val="Arial"/>
        <family val="0"/>
        <charset val="1"/>
      </rPr>
      <t xml:space="preserve">031-A </t>
    </r>
    <r>
      <rPr>
        <sz val="10"/>
        <rFont val="WenQuanYi Zen Hei"/>
        <family val="2"/>
      </rPr>
      <t xml:space="preserve">运用综合分析及据此制定的干预促进重新融入学校</t>
    </r>
  </si>
  <si>
    <r>
      <rPr>
        <sz val="10"/>
        <rFont val="Arial"/>
        <family val="0"/>
        <charset val="1"/>
      </rPr>
      <t xml:space="preserve">5.0</t>
    </r>
    <r>
      <rPr>
        <sz val="10"/>
        <rFont val="WenQuanYi Zen Hei"/>
        <family val="2"/>
      </rPr>
      <t xml:space="preserve">不达标：同左；治疗延伸期</t>
    </r>
    <r>
      <rPr>
        <sz val="10"/>
        <rFont val="Arial"/>
        <family val="0"/>
        <charset val="1"/>
      </rPr>
      <t xml:space="preserve">IOA</t>
    </r>
    <r>
      <rPr>
        <sz val="10"/>
        <rFont val="WenQuanYi Zen Hei"/>
        <family val="2"/>
      </rPr>
      <t xml:space="preserve">仅</t>
    </r>
    <r>
      <rPr>
        <sz val="10"/>
        <rFont val="Arial"/>
        <family val="0"/>
        <charset val="1"/>
      </rPr>
      <t xml:space="preserve">6%(&lt;20%)</t>
    </r>
  </si>
  <si>
    <r>
      <rPr>
        <sz val="10"/>
        <rFont val="Arial"/>
        <family val="0"/>
        <charset val="1"/>
      </rPr>
      <t xml:space="preserve">032-A </t>
    </r>
    <r>
      <rPr>
        <sz val="10"/>
        <rFont val="WenQuanYi Zen Hei"/>
        <family val="2"/>
      </rPr>
      <t xml:space="preserve">面向发展障碍学生核心学业内容教学的普通教育教师培训</t>
    </r>
  </si>
  <si>
    <r>
      <rPr>
        <sz val="10"/>
        <rFont val="WenQuanYi Zen Hei"/>
        <family val="2"/>
      </rPr>
      <t xml:space="preserve">不符合</t>
    </r>
    <r>
      <rPr>
        <sz val="10"/>
        <rFont val="Arial"/>
        <family val="0"/>
        <charset val="1"/>
      </rPr>
      <t xml:space="preserve">0343</t>
    </r>
    <r>
      <rPr>
        <sz val="10"/>
        <rFont val="WenQuanYi Zen Hei"/>
        <family val="2"/>
      </rPr>
      <t xml:space="preserve">融合情境定义：基线期在心理咨询室单独测量</t>
    </r>
  </si>
  <si>
    <r>
      <rPr>
        <sz val="10"/>
        <rFont val="Arial"/>
        <family val="0"/>
        <charset val="1"/>
      </rPr>
      <t xml:space="preserve">033-A </t>
    </r>
    <r>
      <rPr>
        <sz val="10"/>
        <rFont val="WenQuanYi Zen Hei"/>
        <family val="2"/>
      </rPr>
      <t xml:space="preserve">融合高中课堂中由教学辅助人员实施的低强度同伴培训的探索</t>
    </r>
  </si>
  <si>
    <r>
      <rPr>
        <sz val="10"/>
        <rFont val="WenQuanYi Zen Hei"/>
        <family val="2"/>
      </rPr>
      <t xml:space="preserve">被试年龄超过</t>
    </r>
    <r>
      <rPr>
        <sz val="10"/>
        <rFont val="Arial"/>
        <family val="0"/>
        <charset val="1"/>
      </rPr>
      <t xml:space="preserve">13</t>
    </r>
    <r>
      <rPr>
        <sz val="10"/>
        <rFont val="WenQuanYi Zen Hei"/>
        <family val="2"/>
      </rPr>
      <t xml:space="preserve">岁（</t>
    </r>
    <r>
      <rPr>
        <sz val="10"/>
        <rFont val="Arial"/>
        <family val="0"/>
        <charset val="1"/>
      </rPr>
      <t xml:space="preserve">Max 17</t>
    </r>
    <r>
      <rPr>
        <sz val="10"/>
        <rFont val="WenQuanYi Zen Hei"/>
        <family val="2"/>
      </rPr>
      <t xml:space="preserve">岁）</t>
    </r>
  </si>
  <si>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</si>
  <si>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保留同一条探测要求</t>
    </r>
    <r>
      <rPr>
        <sz val="10"/>
        <rFont val="Arial"/>
        <family val="0"/>
        <charset val="1"/>
      </rPr>
      <t xml:space="preserve">)</t>
    </r>
  </si>
  <si>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</si>
  <si>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</si>
  <si>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r>
      <rPr>
        <sz val="10"/>
        <rFont val="Arial"/>
        <family val="0"/>
        <charset val="1"/>
      </rPr>
      <t xml:space="preserve">5.0</t>
    </r>
    <r>
      <rPr>
        <sz val="10"/>
        <rFont val="WenQuanYi Zen Hei"/>
        <family val="2"/>
      </rPr>
      <t xml:space="preserve">不达标：违反同时性要求</t>
    </r>
  </si>
  <si>
    <r>
      <rPr>
        <sz val="10"/>
        <rFont val="Arial"/>
        <family val="0"/>
        <charset val="1"/>
      </rPr>
      <t xml:space="preserve">045-A </t>
    </r>
    <r>
      <rPr>
        <sz val="10"/>
        <rFont val="WenQuanYi Zen Hei"/>
        <family val="2"/>
      </rPr>
      <t xml:space="preserve">视频示范在教授孤独症谱系障碍儿童身体活动型合作游戏中的有效性</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</si>
  <si>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次会话无垂直重叠；</t>
    </r>
    <r>
      <rPr>
        <sz val="10"/>
        <rFont val="Arial"/>
        <family val="0"/>
        <charset val="1"/>
      </rPr>
      <t xml:space="preserve">Efe</t>
    </r>
    <r>
      <rPr>
        <sz val="10"/>
        <rFont val="WenQuanYi Zen Hei"/>
        <family val="2"/>
      </rPr>
      <t xml:space="preserve">进入干预时其他层尚无基线数据</t>
    </r>
    <r>
      <rPr>
        <sz val="10"/>
        <rFont val="Arial"/>
        <family val="0"/>
        <charset val="1"/>
      </rPr>
      <t xml:space="preserve">(</t>
    </r>
    <r>
      <rPr>
        <sz val="10"/>
        <rFont val="WenQuanYi Zen Hei"/>
        <family val="2"/>
      </rPr>
      <t xml:space="preserve">违反同时性</t>
    </r>
    <r>
      <rPr>
        <sz val="10"/>
        <rFont val="Arial"/>
        <family val="0"/>
        <charset val="1"/>
      </rPr>
      <t xml:space="preserve">)</t>
    </r>
  </si>
  <si>
    <r>
      <rPr>
        <sz val="10"/>
        <rFont val="WenQuanYi Zen Hei"/>
        <family val="2"/>
      </rPr>
      <t xml:space="preserve">户秀美</t>
    </r>
    <r>
      <rPr>
        <sz val="10"/>
        <rFont val="Arial"/>
        <family val="0"/>
        <charset val="1"/>
      </rPr>
      <t xml:space="preserve">2025 </t>
    </r>
    <r>
      <rPr>
        <sz val="10"/>
        <rFont val="WenQuanYi Zen Hei"/>
        <family val="2"/>
      </rPr>
      <t xml:space="preserve">低年级随班就读孤独症儿童发散性思维的干预研究（中文）</t>
    </r>
  </si>
  <si>
    <r>
      <rPr>
        <sz val="10"/>
        <rFont val="WenQuanYi Zen Hei"/>
        <family val="2"/>
      </rPr>
      <t xml:space="preserve">不符合</t>
    </r>
    <r>
      <rPr>
        <sz val="10"/>
        <rFont val="Arial"/>
        <family val="0"/>
        <charset val="1"/>
      </rPr>
      <t xml:space="preserve">0343</t>
    </r>
    <r>
      <rPr>
        <sz val="10"/>
        <rFont val="WenQuanYi Zen Hei"/>
        <family val="2"/>
      </rPr>
      <t xml:space="preserve">融合情境定义：研究者一对一教学，未报告干预情境，无普通同学参与</t>
    </r>
  </si>
  <si>
    <t xml:space="preserve">15 Kasari et al. 2016</t>
  </si>
  <si>
    <r>
      <rPr>
        <sz val="10"/>
        <rFont val="Arial"/>
        <family val="0"/>
        <charset val="1"/>
      </rPr>
      <t xml:space="preserve">5.0</t>
    </r>
    <r>
      <rPr>
        <sz val="10"/>
        <rFont val="WenQuanYi Zen Hei"/>
        <family val="2"/>
      </rPr>
      <t xml:space="preserve">下主要结局不达标，仅出度指标有保留；作者决定排除</t>
    </r>
  </si>
  <si>
    <t xml:space="preserve">20 Kretzmann et al. 2015</t>
  </si>
  <si>
    <r>
      <rPr>
        <sz val="10"/>
        <rFont val="WenQuanYi Zen Hei"/>
        <family val="2"/>
      </rPr>
      <t xml:space="preserve">无法确认儿童是否在学校随机分组前入组</t>
    </r>
    <r>
      <rPr>
        <sz val="10"/>
        <rFont val="Arial"/>
        <family val="0"/>
        <charset val="1"/>
      </rPr>
      <t xml:space="preserve">(5.0</t>
    </r>
    <r>
      <rPr>
        <sz val="10"/>
        <rFont val="WenQuanYi Zen Hei"/>
        <family val="2"/>
      </rPr>
      <t xml:space="preserve">需证明基线等同</t>
    </r>
    <r>
      <rPr>
        <sz val="10"/>
        <rFont val="Arial"/>
        <family val="0"/>
        <charset val="1"/>
      </rPr>
      <t xml:space="preserve">)</t>
    </r>
    <r>
      <rPr>
        <sz val="10"/>
        <rFont val="WenQuanYi Zen Hei"/>
        <family val="2"/>
      </rPr>
      <t xml:space="preserve">；作者决定排除</t>
    </r>
  </si>
  <si>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</si>
  <si>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r>
      <rPr>
        <sz val="10"/>
        <rFont val="Arial"/>
        <family val="0"/>
        <charset val="1"/>
      </rPr>
      <t xml:space="preserve">5.0</t>
    </r>
    <r>
      <rPr>
        <sz val="10"/>
        <rFont val="WenQuanYi Zen Hei"/>
        <family val="2"/>
      </rPr>
      <t xml:space="preserve">不达标</t>
    </r>
    <r>
      <rPr>
        <sz val="10"/>
        <rFont val="Arial"/>
        <family val="0"/>
        <charset val="1"/>
      </rPr>
      <t xml:space="preserve">(</t>
    </r>
    <r>
      <rPr>
        <sz val="10"/>
        <rFont val="WenQuanYi Zen Hei"/>
        <family val="2"/>
      </rPr>
      <t xml:space="preserve">保守流失边界</t>
    </r>
    <r>
      <rPr>
        <sz val="10"/>
        <rFont val="Arial"/>
        <family val="0"/>
        <charset val="1"/>
      </rPr>
      <t xml:space="preserve">)</t>
    </r>
    <r>
      <rPr>
        <sz val="10"/>
        <rFont val="WenQuanYi Zen Hei"/>
        <family val="2"/>
      </rPr>
      <t xml:space="preserve">：同左</t>
    </r>
  </si>
  <si>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</si>
  <si>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r>
      <rPr>
        <sz val="10"/>
        <rFont val="Arial"/>
        <family val="0"/>
        <charset val="1"/>
      </rPr>
      <t xml:space="preserve">5.0</t>
    </r>
    <r>
      <rPr>
        <sz val="10"/>
        <rFont val="WenQuanYi Zen Hei"/>
        <family val="2"/>
      </rPr>
      <t xml:space="preserve">不达标：同左</t>
    </r>
  </si>
  <si>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</si>
  <si>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还明确要求：学校随机化后才确定的学生须证明基线等同</t>
    </r>
  </si>
  <si>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</si>
  <si>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</si>
  <si>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r>
      <rPr>
        <sz val="10"/>
        <rFont val="WenQuanYi Zen Hei"/>
        <family val="2"/>
      </rPr>
      <t xml:space="preserve">被试年龄</t>
    </r>
    <r>
      <rPr>
        <sz val="10"/>
        <rFont val="Arial"/>
        <family val="0"/>
        <charset val="1"/>
      </rPr>
      <t xml:space="preserve">7–15</t>
    </r>
    <r>
      <rPr>
        <sz val="10"/>
        <rFont val="WenQuanYi Zen Hei"/>
        <family val="2"/>
      </rPr>
      <t xml:space="preserve">岁，无法单独提取</t>
    </r>
    <r>
      <rPr>
        <sz val="10"/>
        <rFont val="Arial"/>
        <family val="0"/>
        <charset val="1"/>
      </rPr>
      <t xml:space="preserve">13</t>
    </r>
    <r>
      <rPr>
        <sz val="10"/>
        <rFont val="WenQuanYi Zen Hei"/>
        <family val="2"/>
      </rPr>
      <t xml:space="preserve">岁及以下被试的数据</t>
    </r>
  </si>
  <si>
    <r>
      <rPr>
        <sz val="10"/>
        <rFont val="Arial"/>
        <family val="0"/>
        <charset val="1"/>
      </rPr>
      <t xml:space="preserve">008-B </t>
    </r>
    <r>
      <rPr>
        <sz val="10"/>
        <rFont val="WenQuanYi Zen Hei"/>
        <family val="2"/>
      </rPr>
      <t xml:space="preserve">小学柔道与空手道作为促进孤独症儿童社会融合的手段</t>
    </r>
  </si>
  <si>
    <r>
      <rPr>
        <sz val="10"/>
        <rFont val="WenQuanYi Zen Hei"/>
        <family val="2"/>
      </rPr>
      <t xml:space="preserve">两种干预比较、无未干预对照，教练人数未报告</t>
    </r>
    <r>
      <rPr>
        <sz val="10"/>
        <rFont val="Arial"/>
        <family val="0"/>
        <charset val="1"/>
      </rPr>
      <t xml:space="preserve">(</t>
    </r>
    <r>
      <rPr>
        <sz val="10"/>
        <rFont val="WenQuanYi Zen Hei"/>
        <family val="2"/>
      </rPr>
      <t xml:space="preserve">可能构成混淆</t>
    </r>
    <r>
      <rPr>
        <sz val="10"/>
        <rFont val="Arial"/>
        <family val="0"/>
        <charset val="1"/>
      </rPr>
      <t xml:space="preserve">)</t>
    </r>
    <r>
      <rPr>
        <sz val="10"/>
        <rFont val="WenQuanYi Zen Hei"/>
        <family val="2"/>
      </rPr>
      <t xml:space="preserve">；作者决定排除</t>
    </r>
  </si>
  <si>
    <t xml:space="preserve">融合情境筛选：E列为参考方案（"并且"版，未采用）；G列为最终采用的0343定义</t>
  </si>
  <si>
    <t xml:space="preserve">定义：干预在教室（含资源教室）、课间和操场、午餐等日常自然情境中进行，并且有普通同伴作为共同参与者的小组活动。两个条件同时满足才纳入。</t>
  </si>
  <si>
    <r>
      <rPr>
        <b val="true"/>
        <sz val="10"/>
        <rFont val="WenQuanYi Zen Hei"/>
        <family val="2"/>
      </rPr>
      <t xml:space="preserve">最终采用：参照</t>
    </r>
    <r>
      <rPr>
        <b val="true"/>
        <sz val="10"/>
        <rFont val="Arial"/>
        <family val="0"/>
        <charset val="1"/>
      </rPr>
      <t xml:space="preserve">Watkins</t>
    </r>
    <r>
      <rPr>
        <b val="true"/>
        <sz val="10"/>
        <rFont val="WenQuanYi Zen Hei"/>
        <family val="2"/>
      </rPr>
      <t xml:space="preserve">等（</t>
    </r>
    <r>
      <rPr>
        <b val="true"/>
        <sz val="10"/>
        <rFont val="Arial"/>
        <family val="0"/>
        <charset val="1"/>
      </rPr>
      <t xml:space="preserve">2019</t>
    </r>
    <r>
      <rPr>
        <b val="true"/>
        <sz val="10"/>
        <rFont val="WenQuanYi Zen Hei"/>
        <family val="2"/>
      </rPr>
      <t xml:space="preserve">），融合情境指孤独症学生与普通同班同学共享情境和活动；在特教班或抽离场所由成人单独实施的干预不予纳入。</t>
    </r>
  </si>
  <si>
    <t xml:space="preserve">干预与测量情境</t>
  </si>
  <si>
    <t xml:space="preserve">普通同伴是否作为共同参与者</t>
  </si>
  <si>
    <t xml:space="preserve">排除理由 / 备注</t>
  </si>
  <si>
    <r>
      <rPr>
        <b val="true"/>
        <sz val="10"/>
        <color rgb="FFFFFFFF"/>
        <rFont val="Arial"/>
        <family val="0"/>
        <charset val="1"/>
      </rPr>
      <t xml:space="preserve">0343</t>
    </r>
    <r>
      <rPr>
        <b val="true"/>
        <sz val="10"/>
        <color rgb="FFFFFFFF"/>
        <rFont val="WenQuanYi Zen Hei"/>
        <family val="2"/>
      </rPr>
      <t xml:space="preserve">定义（采用）</t>
    </r>
  </si>
  <si>
    <t xml:space="preserve">幼儿园空教室</t>
  </si>
  <si>
    <t xml:space="preserve">是：与普通同伴的游戏小组</t>
  </si>
  <si>
    <t xml:space="preserve">校内会议室/特教教室/餐厅/体育馆</t>
  </si>
  <si>
    <t xml:space="preserve">是：同伴网络</t>
  </si>
  <si>
    <t xml:space="preserve">午餐（餐厅）</t>
  </si>
  <si>
    <t xml:space="preserve">普通班课堂</t>
  </si>
  <si>
    <t xml:space="preserve">是：同伴实施社交互动</t>
  </si>
  <si>
    <t xml:space="preserve">幼儿园操场</t>
  </si>
  <si>
    <t xml:space="preserve">是：操场上与同伴的音乐游戏</t>
  </si>
  <si>
    <t xml:space="preserve">午餐时间的兴趣社团</t>
  </si>
  <si>
    <t xml:space="preserve">是：与普通同伴的社团活动</t>
  </si>
  <si>
    <t xml:space="preserve">午餐</t>
  </si>
  <si>
    <t xml:space="preserve">是：同伴训练</t>
  </si>
  <si>
    <t xml:space="preserve">课间操场</t>
  </si>
  <si>
    <t xml:space="preserve">是：同伴介入</t>
  </si>
  <si>
    <t xml:space="preserve">是：同伴支持</t>
  </si>
  <si>
    <t xml:space="preserve">午餐、课间</t>
  </si>
  <si>
    <t xml:space="preserve">001-A</t>
  </si>
  <si>
    <t xml:space="preserve">普通班游戏区（1对在隔壁空教室）</t>
  </si>
  <si>
    <t xml:space="preserve">是：受训同伴结对游戏</t>
  </si>
  <si>
    <t xml:space="preserve">002-A</t>
  </si>
  <si>
    <t xml:space="preserve">同伴环节在普通班；成人环节在走廊/办公室</t>
  </si>
  <si>
    <t xml:space="preserve">是：同伴环节</t>
  </si>
  <si>
    <t xml:space="preserve">只提取同伴环节数据；已补评：WWC 5.0 无保留（设计1，图3），可提取的ASD被试为Emily、Oliver</t>
  </si>
  <si>
    <t xml:space="preserve">003-A</t>
  </si>
  <si>
    <t xml:space="preserve">课间户外操场</t>
  </si>
  <si>
    <t xml:space="preserve">是：合作游戏（Buddy Game）</t>
  </si>
  <si>
    <t xml:space="preserve">007-A</t>
  </si>
  <si>
    <t xml:space="preserve">普通班课堂、午餐</t>
  </si>
  <si>
    <t xml:space="preserve">是：同伴支持安排</t>
  </si>
  <si>
    <t xml:space="preserve">009-A</t>
  </si>
  <si>
    <t xml:space="preserve">普通班自选活动、户外课间</t>
  </si>
  <si>
    <t xml:space="preserve">是：同伴邀请游戏</t>
  </si>
  <si>
    <t xml:space="preserve">010-A</t>
  </si>
  <si>
    <t xml:space="preserve">普通班自由游戏区</t>
  </si>
  <si>
    <t xml:space="preserve">013-A</t>
  </si>
  <si>
    <t xml:space="preserve">是：同伴辅导写作</t>
  </si>
  <si>
    <t xml:space="preserve">016-A</t>
  </si>
  <si>
    <t xml:space="preserve">课间户外、三年级课堂</t>
  </si>
  <si>
    <t xml:space="preserve">是：同伴实施PRT</t>
  </si>
  <si>
    <t xml:space="preserve">021-A</t>
  </si>
  <si>
    <t xml:space="preserve">普通班区角活动</t>
  </si>
  <si>
    <t xml:space="preserve">是：同伴介入共同注意</t>
  </si>
  <si>
    <t xml:space="preserve">022-A</t>
  </si>
  <si>
    <t xml:space="preserve">普通班自由游戏</t>
  </si>
  <si>
    <t xml:space="preserve">是：教师引导同伴介入</t>
  </si>
  <si>
    <t xml:space="preserve">025-A</t>
  </si>
  <si>
    <t xml:space="preserve">幼儿园教室（2人在本班以外的教室）</t>
  </si>
  <si>
    <t xml:space="preserve">是：与普通同伴的异质小组教学</t>
  </si>
  <si>
    <t xml:space="preserve">027-A</t>
  </si>
  <si>
    <t xml:space="preserve">体育课、自由游戏</t>
  </si>
  <si>
    <t xml:space="preserve">是：合作性身体活动</t>
  </si>
  <si>
    <t xml:space="preserve">029-A</t>
  </si>
  <si>
    <t xml:space="preserve">是：良好行为游戏（全班分组）</t>
  </si>
  <si>
    <t xml:space="preserve">033-A</t>
  </si>
  <si>
    <t xml:space="preserve">是：同伴伙伴</t>
  </si>
  <si>
    <t xml:space="preserve">035-A</t>
  </si>
  <si>
    <t xml:space="preserve">普通班游戏区</t>
  </si>
  <si>
    <t xml:space="preserve">是：与同伴结对的兴趣活动</t>
  </si>
  <si>
    <t xml:space="preserve">037-A</t>
  </si>
  <si>
    <t xml:space="preserve">普通班乐高区</t>
  </si>
  <si>
    <t xml:space="preserve">是：同伴介入乐高游戏</t>
  </si>
  <si>
    <t xml:space="preserve">040-A</t>
  </si>
  <si>
    <t xml:space="preserve">普通班教室（课前/课间）</t>
  </si>
  <si>
    <t xml:space="preserve">是：与同伴伙伴练习对话</t>
  </si>
  <si>
    <t xml:space="preserve">044-A</t>
  </si>
  <si>
    <t xml:space="preserve">是：同伴网络、同伴主导游戏</t>
  </si>
  <si>
    <t xml:space="preserve">046-A</t>
  </si>
  <si>
    <t xml:space="preserve">午餐课间操场</t>
  </si>
  <si>
    <t xml:space="preserve">是：组织同伴共同参与的结构化游戏</t>
  </si>
  <si>
    <t xml:space="preserve">张晓敏2026</t>
  </si>
  <si>
    <t xml:space="preserve">幼儿园资源教室</t>
  </si>
  <si>
    <t xml:space="preserve">是：每名儿童与4名普通同伴的音乐小组</t>
  </si>
  <si>
    <t xml:space="preserve">英语课、午餐、活动课</t>
  </si>
  <si>
    <t xml:space="preserve">否：认知策略（SODA），同伴未参与干预</t>
  </si>
  <si>
    <t xml:space="preserve">无同伴共同参与</t>
  </si>
  <si>
    <t xml:space="preserve">单独房间训练，课堂观察</t>
  </si>
  <si>
    <t xml:space="preserve">否：社会故事</t>
  </si>
  <si>
    <t xml:space="preserve">幼儿园课堂</t>
  </si>
  <si>
    <t xml:space="preserve">否：功能评估干预，同伴只作为附带效果的观察对象</t>
  </si>
  <si>
    <t xml:space="preserve">普通教育环境</t>
  </si>
  <si>
    <t xml:space="preserve">否：视频示范</t>
  </si>
  <si>
    <t xml:space="preserve">否：自我示范/自我监控</t>
  </si>
  <si>
    <t xml:space="preserve">否：自我监控</t>
  </si>
  <si>
    <t xml:space="preserve">否：影子老师提示与强化，同伴未参与干预</t>
  </si>
  <si>
    <t xml:space="preserve">否：前事干预</t>
  </si>
  <si>
    <t xml:space="preserve">幼儿园游戏时间</t>
  </si>
  <si>
    <t xml:space="preserve">否：活动日程与对应训练</t>
  </si>
  <si>
    <t xml:space="preserve">普通班（电脑呈现社会故事）、操场</t>
  </si>
  <si>
    <t xml:space="preserve">否：社会故事+视频示范</t>
  </si>
  <si>
    <t xml:space="preserve">005-A</t>
  </si>
  <si>
    <t xml:space="preserve">技能课在办公室/走廊，测量在操场</t>
  </si>
  <si>
    <t xml:space="preserve">否：成人单独授课</t>
  </si>
  <si>
    <t xml:space="preserve">干预为成人对个体的抽离式教学</t>
  </si>
  <si>
    <t xml:space="preserve">006-A</t>
  </si>
  <si>
    <t xml:space="preserve">治疗室/走廊</t>
  </si>
  <si>
    <t xml:space="preserve">否</t>
  </si>
  <si>
    <t xml:space="preserve">抽离场所，无同伴参与</t>
  </si>
  <si>
    <t xml:space="preserve">008-A</t>
  </si>
  <si>
    <t xml:space="preserve">普通班集体教学（圆圈时间）</t>
  </si>
  <si>
    <t xml:space="preserve">否：加重毯/工作盒，同伴未参与干预</t>
  </si>
  <si>
    <t xml:space="preserve">011-A</t>
  </si>
  <si>
    <t xml:space="preserve">否：视觉日程/工作系统</t>
  </si>
  <si>
    <t xml:space="preserve">017-A</t>
  </si>
  <si>
    <t xml:space="preserve">普通班默读时间</t>
  </si>
  <si>
    <t xml:space="preserve">否：一对一共读</t>
  </si>
  <si>
    <t xml:space="preserve">018-A</t>
  </si>
  <si>
    <t xml:space="preserve">个别化教学</t>
  </si>
  <si>
    <t xml:space="preserve">抽离式个别教学</t>
  </si>
  <si>
    <t xml:space="preserve">020-A</t>
  </si>
  <si>
    <t xml:space="preserve">否：嵌入特殊兴趣，同伴未参与干预</t>
  </si>
  <si>
    <t xml:space="preserve">028-A</t>
  </si>
  <si>
    <t xml:space="preserve">课间</t>
  </si>
  <si>
    <t xml:space="preserve">否：对儿童提示+强化+自我管理，同伴未参与干预</t>
  </si>
  <si>
    <t xml:space="preserve">030-A</t>
  </si>
  <si>
    <t xml:space="preserve">普通班日常活动</t>
  </si>
  <si>
    <t xml:space="preserve">否：教师嵌入式教学</t>
  </si>
  <si>
    <t xml:space="preserve">032-A</t>
  </si>
  <si>
    <t xml:space="preserve">基线期在心理咨询室，教学在课堂</t>
  </si>
  <si>
    <t xml:space="preserve">否：教师教学</t>
  </si>
  <si>
    <t xml:space="preserve">无同伴共同参与；部分测量在抽离场所</t>
  </si>
  <si>
    <t xml:space="preserve">036-A</t>
  </si>
  <si>
    <t xml:space="preserve">融合课堂（偶尔在特教教室）</t>
  </si>
  <si>
    <t xml:space="preserve">否：教学助理实施视频提示</t>
  </si>
  <si>
    <t xml:space="preserve">039-A</t>
  </si>
  <si>
    <t xml:space="preserve">否：教师实施自然情境发展行为干预</t>
  </si>
  <si>
    <t xml:space="preserve">042-A</t>
  </si>
  <si>
    <t xml:space="preserve">否：自我管理</t>
  </si>
  <si>
    <t xml:space="preserve">043-A</t>
  </si>
  <si>
    <t xml:space="preserve">户秀美2025</t>
  </si>
  <si>
    <t xml:space="preserve">研究者一对一对话教学</t>
  </si>
  <si>
    <t xml:space="preserve">组间设计（WWC 5.0 纳入的 5 篇，按同一定义筛选）</t>
  </si>
  <si>
    <t xml:space="preserve">备注</t>
  </si>
  <si>
    <t xml:space="preserve">学校课间、午餐（操场）</t>
  </si>
  <si>
    <t xml:space="preserve">同伴组是：3名普通同学受训后在操场上带动目标儿童；儿童组否：研究者一对一教学，不训练普通同伴</t>
  </si>
  <si>
    <t xml:space="preserve">只使用"同伴介入组 vs 仅融合对照组"的对比；儿童介入组不符合定义</t>
  </si>
  <si>
    <r>
      <rPr>
        <sz val="10"/>
        <rFont val="Arial"/>
        <family val="0"/>
        <charset val="1"/>
      </rPr>
      <t xml:space="preserve">001-B </t>
    </r>
    <r>
      <rPr>
        <sz val="10"/>
        <rFont val="WenQuanYi Zen Hei"/>
        <family val="2"/>
      </rPr>
      <t xml:space="preserve">实施支持对</t>
    </r>
    <r>
      <rPr>
        <sz val="10"/>
        <rFont val="Arial"/>
        <family val="0"/>
        <charset val="1"/>
      </rPr>
      <t xml:space="preserve">"</t>
    </r>
    <r>
      <rPr>
        <sz val="10"/>
        <rFont val="WenQuanYi Zen Hei"/>
        <family val="2"/>
      </rPr>
      <t xml:space="preserve">重塑课间休息</t>
    </r>
    <r>
      <rPr>
        <sz val="10"/>
        <rFont val="Arial"/>
        <family val="0"/>
        <charset val="1"/>
      </rPr>
      <t xml:space="preserve">"</t>
    </r>
    <r>
      <rPr>
        <sz val="10"/>
        <rFont val="WenQuanYi Zen Hei"/>
        <family val="2"/>
      </rPr>
      <t xml:space="preserve">应用的影响</t>
    </r>
  </si>
  <si>
    <t xml:space="preserve">学校课间（操场）</t>
  </si>
  <si>
    <t xml:space="preserve">是：成人引导与同伴介入结合，组织普通同伴共同参与课间游戏</t>
  </si>
  <si>
    <t xml:space="preserve">两组都接受"重塑课间休息"，对比的是有无实施支持，不是干预对无干预</t>
  </si>
  <si>
    <r>
      <rPr>
        <sz val="10"/>
        <rFont val="Arial"/>
        <family val="0"/>
        <charset val="1"/>
      </rPr>
      <t xml:space="preserve">007-B I-SOCIALISE </t>
    </r>
    <r>
      <rPr>
        <sz val="10"/>
        <rFont val="WenQuanYi Zen Hei"/>
        <family val="2"/>
      </rPr>
      <t xml:space="preserve">乐高疗法俱乐部</t>
    </r>
  </si>
  <si>
    <t xml:space="preserve">学校内乐高小组（具体房间未写明）</t>
  </si>
  <si>
    <t xml:space="preserve">原文未写明小组成员是否包括普通同伴，只说明见试验方案（Varley et al., 2019）</t>
  </si>
  <si>
    <t xml:space="preserve">待核</t>
  </si>
  <si>
    <t xml:space="preserve">若小组含普通同伴则纳入；若全为孤独症儿童则排除</t>
  </si>
  <si>
    <r>
      <rPr>
        <sz val="10"/>
        <rFont val="Arial"/>
        <family val="0"/>
        <charset val="1"/>
      </rPr>
      <t xml:space="preserve">009-B "</t>
    </r>
    <r>
      <rPr>
        <sz val="10"/>
        <rFont val="WenQuanYi Zen Hei"/>
        <family val="2"/>
      </rPr>
      <t xml:space="preserve">重塑课间休息</t>
    </r>
    <r>
      <rPr>
        <sz val="10"/>
        <rFont val="Arial"/>
        <family val="0"/>
        <charset val="1"/>
      </rPr>
      <t xml:space="preserve">" vs </t>
    </r>
    <r>
      <rPr>
        <sz val="10"/>
        <rFont val="WenQuanYi Zen Hei"/>
        <family val="2"/>
      </rPr>
      <t xml:space="preserve">候补对照</t>
    </r>
  </si>
  <si>
    <t xml:space="preserve">是：成人引导与同伴介入结合</t>
  </si>
  <si>
    <t xml:space="preserve">沙鹏2023 同伴介入气排球</t>
  </si>
  <si>
    <t xml:space="preserve">学校球类运动场地，下午体活课</t>
  </si>
  <si>
    <t xml:space="preserve">是：普通同伴介入的气排球小组</t>
  </si>
  <si>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</si>
  <si>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</si>
  <si>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</si>
  <si>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</si>
  <si>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</si>
  <si>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</si>
  <si>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达标合计（无保留+有保留）</t>
  </si>
  <si>
    <t xml:space="preserve">两版评级一致 / 不一致</t>
  </si>
  <si>
    <t xml:space="preserve">←左：一致；右：不一致</t>
  </si>
  <si>
    <t xml:space="preserve">二、单一被试：3.0（行）× 5.0（列）交叉表</t>
  </si>
  <si>
    <t xml:space="preserve">3.0 \ 5.0</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</si>
  <si>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</si>
  <si>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</si>
  <si>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</si>
  <si>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</si>
  <si>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</si>
  <si>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</si>
  <si>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</si>
  <si>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</si>
  <si>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</si>
  <si>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</si>
  <si>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</si>
  <si>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</si>
  <si>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</si>
  <si>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</si>
  <si>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</si>
  <si>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</si>
  <si>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</si>
  <si>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</si>
  <si>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</si>
  <si>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</si>
  <si>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</si>
  <si>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</si>
  <si>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</si>
  <si>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</si>
  <si>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</si>
  <si>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</si>
  <si>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</si>
  <si>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</si>
  <si>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</si>
  <si>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</si>
  <si>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</si>
  <si>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</si>
  <si>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</si>
  <si>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</si>
  <si>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</si>
  <si>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</si>
  <si>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</si>
  <si>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</si>
  <si>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</si>
  <si>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</si>
  <si>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</si>
  <si>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t xml:space="preserve">母本（Watkins et al., 2019）28篇：WWC 3.0 与 5.0 重评汇总</t>
  </si>
  <si>
    <t xml:space="preserve">单一被试 25 篇、组间设计 3 篇。0343 按 WWC 3.0 判定这28篇全部达标。下表计数均由公式从"母本单一被试""母本组间设计"两张表统计；视觉分析证据评级为初判。</t>
  </si>
  <si>
    <t xml:space="preserve">一、母本单一被试：各版本评级篇数</t>
  </si>
  <si>
    <t xml:space="preserve">二、母本单一被试：3.0（行）× 5.0（列）交叉表</t>
  </si>
  <si>
    <t xml:space="preserve">三、母本 3.0 证据评级（仅3.0达标者，初判）</t>
  </si>
  <si>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</si>
  <si>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</si>
  <si>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</si>
  <si>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</si>
  <si>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</si>
  <si>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</si>
  <si>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</si>
  <si>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</si>
  <si>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</si>
  <si>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</si>
  <si>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t xml:space="preserve">主要结局：3.0 有保留 → 5.0 不达标（仅出度指标仍为有保留）</t>
  </si>
  <si>
    <t xml:space="preserve">六、与 0343 原判定的出入（按本次统一操作规则）</t>
  </si>
  <si>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</si>
  <si>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</si>
  <si>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</si>
  <si>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t xml:space="preserve">启示：0343 对多探测、同时性条款的执行比本次宽松。新纳入研究中因同类原因判为不达标的（015A、023A、034A、038A、045A、041A）与这两篇属同一情况，母本与新研究应采用同一套解读，并在方法部分写明。</t>
  </si>
  <si>
    <t xml:space="preserve">七、母本 + 新纳入研究合计（单一被试）</t>
  </si>
  <si>
    <t xml:space="preserve">总篇数</t>
  </si>
  <si>
    <t xml:space="preserve">文件</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</si>
  <si>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</si>
  <si>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</si>
  <si>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</si>
  <si>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</si>
  <si>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</si>
  <si>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</si>
  <si>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</si>
  <si>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</si>
  <si>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</si>
  <si>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</si>
  <si>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</si>
  <si>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</si>
  <si>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</si>
  <si>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</si>
  <si>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</si>
  <si>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同伴干预部分：设计1多基线(4对，图3)+设计2多探测(3对，图4)；成人干预部分(图1–2，在走廊/办公室进行)不计</t>
  </si>
  <si>
    <t xml:space="preserve">无保留(设计1)</t>
  </si>
  <si>
    <t xml:space="preserve">设计1：Jason干预期仅3点，去掉该层后Arthur、Emily、Oliver各阶段≥5点；设计2不达标(同5.0)</t>
  </si>
  <si>
    <t xml:space="preserve">设计1：三层基线6–9点且全为0(零变异)，干预期5–7点，3个引入时间点；Jason干预3点作为多余层去掉。设计2不达标：Aiden进入干预(第10次)时Trevor、Quinn无探测点；Trevor干预前3次会话内无探测点；Quinn干预期无效果</t>
  </si>
  <si>
    <t xml:space="preserve">强(初判，设计1)</t>
  </si>
  <si>
    <t xml:space="preserve">按融合情境定义只用同伴干预数据；可提取效应量的ASD被试：Emily、Oliver(教育鉴定为ASD)，Arthur为教师报告(CARS 23)、Jason评估中，不提取；IOA基线57%、干预35.4%，87.5–96%</t>
  </si>
  <si>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</si>
  <si>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</si>
  <si>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</si>
  <si>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</si>
  <si>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</si>
  <si>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</si>
  <si>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</si>
  <si>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</si>
  <si>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</si>
  <si>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</si>
  <si>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</si>
  <si>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</si>
  <si>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</si>
  <si>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</si>
  <si>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</si>
  <si>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</si>
  <si>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</si>
  <si>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</si>
  <si>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</si>
  <si>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</si>
  <si>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</si>
  <si>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</si>
  <si>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</si>
  <si>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</si>
  <si>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</si>
  <si>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</si>
  <si>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</si>
  <si>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</si>
  <si>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</si>
  <si>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</si>
  <si>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</si>
  <si>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</si>
  <si>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</si>
  <si>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</si>
  <si>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</si>
  <si>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</si>
  <si>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</si>
  <si>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</si>
  <si>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</si>
  <si>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</si>
  <si>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</si>
  <si>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</si>
  <si>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</si>
  <si>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</si>
  <si>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</si>
  <si>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</si>
  <si>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</si>
  <si>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</si>
  <si>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</si>
  <si>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</si>
  <si>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</si>
  <si>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</si>
  <si>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</si>
  <si>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</si>
  <si>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</si>
  <si>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</si>
  <si>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</si>
  <si>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</si>
  <si>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</si>
  <si>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</si>
  <si>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</si>
  <si>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</si>
  <si>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</si>
  <si>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</si>
  <si>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</si>
  <si>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</si>
  <si>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</si>
  <si>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</si>
  <si>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</si>
  <si>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</si>
  <si>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</si>
  <si>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</si>
  <si>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</si>
  <si>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</si>
  <si>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</si>
  <si>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</si>
  <si>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</si>
  <si>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</si>
  <si>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</si>
  <si>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</si>
  <si>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</si>
  <si>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</si>
  <si>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</si>
  <si>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</si>
  <si>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</si>
  <si>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</si>
  <si>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</si>
  <si>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</si>
  <si>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</si>
  <si>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</si>
  <si>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</si>
  <si>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</si>
  <si>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</si>
  <si>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</si>
  <si>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</si>
  <si>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</si>
  <si>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</si>
  <si>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</si>
  <si>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</si>
  <si>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</si>
  <si>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</si>
  <si>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</si>
  <si>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</si>
  <si>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</si>
  <si>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</si>
  <si>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</si>
  <si>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</si>
  <si>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</si>
  <si>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</si>
  <si>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</si>
  <si>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</si>
  <si>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</si>
  <si>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</si>
  <si>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</si>
  <si>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</si>
  <si>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</si>
  <si>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</si>
  <si>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</si>
  <si>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</si>
  <si>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</si>
  <si>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</si>
  <si>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</si>
  <si>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</si>
  <si>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</si>
  <si>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</si>
  <si>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</si>
  <si>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</si>
  <si>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</si>
  <si>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</si>
  <si>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</si>
  <si>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</si>
  <si>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</si>
  <si>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</si>
  <si>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</si>
  <si>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</si>
  <si>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</si>
  <si>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</si>
  <si>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</si>
  <si>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</si>
  <si>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</si>
  <si>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</si>
  <si>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</si>
  <si>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</si>
  <si>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</si>
  <si>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</si>
  <si>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</si>
  <si>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</si>
  <si>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</si>
  <si>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</si>
  <si>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</si>
  <si>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</si>
  <si>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</si>
  <si>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</si>
  <si>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</si>
  <si>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</si>
  <si>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</si>
  <si>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</si>
  <si>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</si>
  <si>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</si>
  <si>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</si>
  <si>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</si>
  <si>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</si>
  <si>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</si>
  <si>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</si>
  <si>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</si>
  <si>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</si>
  <si>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</si>
  <si>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</si>
  <si>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</si>
  <si>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</si>
  <si>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</si>
  <si>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</si>
  <si>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</si>
  <si>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</si>
  <si>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</si>
  <si>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</si>
  <si>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</si>
  <si>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</si>
  <si>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</si>
  <si>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</si>
  <si>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</si>
  <si>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</si>
  <si>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</si>
  <si>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</si>
  <si>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</si>
  <si>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</si>
  <si>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</si>
  <si>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</si>
  <si>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</si>
  <si>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</si>
  <si>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</si>
  <si>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户秀美2025 低年级随班就读孤独症儿童发散性思维的干预研究（中文）</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</si>
  <si>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</si>
  <si>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</si>
  <si>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</si>
  <si>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</si>
  <si>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</si>
  <si>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张晓敏2026 融合教育环境中人际同步音乐活动促进孤独症幼儿社会交往的干预研究（中文）</t>
  </si>
  <si>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</si>
  <si>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</si>
  <si>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</si>
  <si>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</si>
  <si>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</si>
  <si>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</si>
  <si>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t xml:space="preserve">整群RCT(12所学校；RR培训 vs RR培训+实施支持)</t>
  </si>
  <si>
    <t xml:space="preserve">两组都接受RR，对比的是"实施支持"本身，不是干预vs无干预；儿童在学校随机化前已招募，流失极少(仅1人搬走)</t>
  </si>
  <si>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</si>
  <si>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</si>
  <si>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</si>
  <si>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</si>
  <si>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</si>
  <si>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t xml:space="preserve">准实验(实验组18 vs 对照组17)</t>
  </si>
  <si>
    <t xml:space="preserve">未报告对照组前测，无法确认基线等同</t>
  </si>
  <si>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</si>
  <si>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</si>
  <si>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</si>
  <si>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</si>
  <si>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t xml:space="preserve">整群RCT中的ASD亚组(25所学校；干预34 vs 对照15)</t>
  </si>
  <si>
    <t xml:space="preserve">流失无法计算；前测ECAQ干预组65.8 vs 对照组76.5，差约0.58 SD(&gt;0.25)</t>
  </si>
  <si>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</si>
  <si>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</si>
  <si>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</si>
  <si>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</si>
  <si>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</si>
  <si>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</si>
  <si>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</si>
  <si>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</si>
  <si>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</si>
  <si>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</si>
  <si>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</si>
  <si>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沙鹏2023 基于同伴介入法的气排球运动干预对随班就读孤独症儿童社交能力的影响（中文）</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</si>
  <si>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</si>
  <si>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</si>
  <si>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</si>
  <si>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</si>
  <si>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多基线跨3种情境(1人)</t>
  </si>
  <si>
    <t xml:space="preserve">合作学习层基线仅3点；午餐层干预期仅4点</t>
  </si>
  <si>
    <t xml:space="preserve">首个基线3点(&lt;6)；干预4点</t>
  </si>
  <si>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</si>
  <si>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</si>
  <si>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多探测跨3种行为(2人各一组)</t>
  </si>
  <si>
    <t xml:space="preserve">有保留(Matt)</t>
  </si>
  <si>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</si>
  <si>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</si>
  <si>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t xml:space="preserve">强(初判，Matt)</t>
  </si>
  <si>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</si>
  <si>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多基线跨3种课堂活动(1人；第5、7、9次会话引入)；另含交替处理功能分析</t>
  </si>
  <si>
    <t xml:space="preserve">音乐活动层基线仅4点</t>
  </si>
  <si>
    <t xml:space="preserve">首个基线4点(&lt;6)</t>
  </si>
  <si>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</si>
  <si>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</si>
  <si>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t xml:space="preserve">各人撤回期(A2)仅3–4点</t>
  </si>
  <si>
    <t xml:space="preserve">首个基线均5点(&lt;6)；A2 3–4点</t>
  </si>
  <si>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</si>
  <si>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t xml:space="preserve">多探测跨3种课堂情境(每名学生一组)，第一层内嵌A-B-A-B</t>
  </si>
  <si>
    <t xml:space="preserve">后两层干预前3次会话内仅1个探测点</t>
  </si>
  <si>
    <t xml:space="preserve">首个基线5点(&lt;6)；干预前探测不足3个</t>
  </si>
  <si>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</si>
  <si>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</si>
  <si>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</si>
  <si>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</si>
  <si>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变标准设计(3人各一个；基线→1→2→3个间隔)</t>
  </si>
  <si>
    <t xml:space="preserve">各阶段仅3个数据点</t>
  </si>
  <si>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</si>
  <si>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t xml:space="preserve">中等(初判；Max一开始就远超各级标准，行为未随标准阶梯变化)</t>
  </si>
  <si>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</si>
  <si>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r>
      <rPr>
        <sz val="10"/>
        <rFont val="Arial"/>
        <family val="0"/>
        <charset val="1"/>
      </rPr>
      <t xml:space="preserve">Anton A-B-A-B + George A-B-A</t>
    </r>
    <r>
      <rPr>
        <sz val="10"/>
        <rFont val="WenQuanYi Zen Hei"/>
        <family val="2"/>
      </rPr>
      <t xml:space="preserve">，两人错开引入</t>
    </r>
  </si>
  <si>
    <t xml:space="preserve">无保留(Anton的ABAB)</t>
  </si>
  <si>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</si>
  <si>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t xml:space="preserve">有保留(Anton)</t>
  </si>
  <si>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</si>
  <si>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r>
      <rPr>
        <sz val="10"/>
        <rFont val="Arial"/>
        <family val="0"/>
        <charset val="1"/>
      </rPr>
      <t xml:space="preserve">5.0</t>
    </r>
    <r>
      <rPr>
        <sz val="10"/>
        <rFont val="WenQuanYi Zen Hei"/>
        <family val="2"/>
      </rPr>
      <t xml:space="preserve">新增基线趋势检查</t>
    </r>
  </si>
  <si>
    <t xml:space="preserve">中等(初判；B1有21%低点，A2出现45%高点)</t>
  </si>
  <si>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</si>
  <si>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</si>
  <si>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</si>
  <si>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t xml:space="preserve">强(初判，主动发起)</t>
  </si>
  <si>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</si>
  <si>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</si>
  <si>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t xml:space="preserve">撤回期(A2)仅4点</t>
  </si>
  <si>
    <t xml:space="preserve">首个基线5点(&lt;6)；A2 4点</t>
  </si>
  <si>
    <t xml:space="preserve">强(初判，红卡vs基线)</t>
  </si>
  <si>
    <t xml:space="preserve">若只看红卡vs绿卡的交替处理对比，两版均可达无保留；IOA 36%会话，92.4%</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</si>
  <si>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</si>
  <si>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</si>
  <si>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多探测跨3种情境(5人各一组)</t>
  </si>
  <si>
    <t xml:space="preserve">不达标(严格判)</t>
  </si>
  <si>
    <t xml:space="preserve">各人至少有一层在首3次会话内无探测点(如Conner键盘课首点在第7次、Joseph第3层首点在第4–5次、Gabby第2层首点在第9次)</t>
  </si>
  <si>
    <t xml:space="preserve">首3次会话内无所有层垂直重叠的探测点</t>
  </si>
  <si>
    <t xml:space="preserve">强(初判，若按宽松解读达标)</t>
  </si>
  <si>
    <t xml:space="preserve">宽松解读(只要求各层在任何层干预前已有基线、他层进入干预后仍有探测)：两版均为有保留；IOA基线≥33%、干预50%，约98%</t>
  </si>
  <si>
    <t xml:space="preserve">多基线含多探测成分(3对)</t>
  </si>
  <si>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</si>
  <si>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</si>
  <si>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</si>
  <si>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多基线(3人)：基线→低概率请求→高概率请求→低概率请求</t>
  </si>
  <si>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</si>
  <si>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t xml:space="preserve">以"高概率vs低概率"为对比时，Paul、Chris的低概率阶段始于Eric进入高概率干预之后，违反5.0同时性第2条</t>
  </si>
  <si>
    <r>
      <rPr>
        <sz val="10"/>
        <rFont val="Arial"/>
        <family val="0"/>
        <charset val="1"/>
      </rPr>
      <t xml:space="preserve">5.0</t>
    </r>
    <r>
      <rPr>
        <sz val="10"/>
        <rFont val="WenQuanYi Zen Hei"/>
        <family val="2"/>
      </rPr>
      <t xml:space="preserve">同时性要求明确化</t>
    </r>
  </si>
  <si>
    <t xml:space="preserve">中等(初判；高概率阶段引入均有效，但撤回到低概率后社交行为未回落)</t>
  </si>
  <si>
    <t xml:space="preserve">若把基线与低概率阶段合并视为对照，5.0可评有保留；IOA 25–35%，97–100%</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</si>
  <si>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</si>
  <si>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t xml:space="preserve">无保留(仅C vs B对比)</t>
  </si>
  <si>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</si>
  <si>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</si>
  <si>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</si>
  <si>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非同时多基线(3人)，Child 1另有A-B-A-B</t>
  </si>
  <si>
    <t xml:space="preserve">作者自述非同时多基线；Child 1第二基线仅2点，撤回设计也不成立</t>
  </si>
  <si>
    <t xml:space="preserve">违反同时性要求；Child 1撤回设计A2仅2点</t>
  </si>
  <si>
    <t xml:space="preserve">宽松解读(接受非同时多基线)：3.0为有保留(Child 1基线3点)；IOA 33%，95–99%</t>
  </si>
  <si>
    <t xml:space="preserve">多基线，两批(批1：4人；批2：3人)</t>
  </si>
  <si>
    <t xml:space="preserve">有保留(批1)</t>
  </si>
  <si>
    <t xml:space="preserve">批1：P1基线4点、P2干预期4点；批2：P5基线仅2点，只剩2层有效→批2不达标</t>
  </si>
  <si>
    <t xml:space="preserve">首个基线&lt;6点；批2同左不达标</t>
  </si>
  <si>
    <t xml:space="preserve">中等(初判；P4干预期与基线重叠，属非效果)</t>
  </si>
  <si>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</si>
  <si>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多基线(3人；基线探测间隔进行)，干预=同伴训练+直接教学→自我监控</t>
  </si>
  <si>
    <t xml:space="preserve">基线为间隔探测，首3次会话及干预前3次会话内探测点不足3个</t>
  </si>
  <si>
    <t xml:space="preserve">同左；Stuart基线5点(&lt;6)</t>
  </si>
  <si>
    <t xml:space="preserve">中等(初判；Stuart、Anthony效果滞后，干预初期与基线重叠)</t>
  </si>
  <si>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</si>
  <si>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各人基线≥6点、无治疗方向趋势，干预期≥5点</t>
  </si>
  <si>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</si>
  <si>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</si>
  <si>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</si>
  <si>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中等(初判；Scott干预期与基线重叠，后又加入"同伴支持+")</t>
  </si>
  <si>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</si>
  <si>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多基线(4人)：基线→活动日程训练→"说出强化"→游戏对应训练包→"说出强化"</t>
  </si>
  <si>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</si>
  <si>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</si>
  <si>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t xml:space="preserve">强(初判，训练期专注行为)</t>
  </si>
  <si>
    <t xml:space="preserve">阶段多、条件不断变化，后续阶段的比较不清晰；IOA专注行为25%会话，96–100%</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</si>
  <si>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</si>
  <si>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</si>
  <si>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中等(初判；George第一批同伴训练后无明显效果，第二批后才上升)</t>
  </si>
  <si>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</si>
  <si>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</si>
  <si>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t xml:space="preserve">首个基线10点、其余各阶段5–6点；基线后3点NAP≈.62(≤.85)；撤回期明显回落</t>
  </si>
  <si>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</si>
  <si>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多基线(3人)：基线→社会故事→社会故事+提示</t>
  </si>
  <si>
    <t xml:space="preserve">各基线≥8点且无治疗方向趋势、干预期≥6点</t>
  </si>
  <si>
    <t xml:space="preserve">无证据(初判；Vito、Michael在社会故事阶段先升后回落到基线水平，只有Santino效果明确，不足3次效果展示)</t>
  </si>
  <si>
    <t xml:space="preserve">设计达标，但效果主要出现在追加"提示"之后；IOA基线20%、干预25%、追踪20%，81–100%</t>
  </si>
  <si>
    <t xml:space="preserve">同时多基线(3人)</t>
  </si>
  <si>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</si>
  <si>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</si>
  <si>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</si>
  <si>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整群RCT(按班级随机，148人；ENGAGE 82 vs SKILLS 66)</t>
  </si>
  <si>
    <t xml:space="preserve">高流失：总流失7.4%、差异流失11.2%(ENGAGE 2/82，SKILLS 9/66)，宽松/保守边界下均为高流失；分析样本基线：社交网络显著性0.07 SD、操场同伴投入0.15 SD(需统计调整，3.0接受WWC差中差调整)；操场独处0.34 SD(&gt;0.25)→该结局不达标</t>
  </si>
  <si>
    <t xml:space="preserve">有保留(仅出度指标)</t>
  </si>
  <si>
    <t xml:space="preserve">同为高流失；5.0规定差中差/增益分数调整须满足前后测相关≥.60，原文未报告→社交网络显著性、操场投入不达标；只有出度指标基线差为0(≤0.05，无需调整)可评有保留</t>
  </si>
  <si>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</si>
  <si>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</si>
  <si>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</si>
  <si>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</si>
  <si>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t xml:space="preserve">按班级区组随机，56个班中52个只有1名ASD儿童，按个体分析；性别分布不均已作为协变量</t>
  </si>
  <si>
    <t xml:space="preserve">整群RCT(4所学校配对随机，24人；立即干预13 vs 候补11)</t>
  </si>
  <si>
    <t xml:space="preserve">无缺失数据；入组时同伴投入差约0.06 SD</t>
  </si>
  <si>
    <t xml:space="preserve">无流失；每组2所学校，不构成"n=1"混淆</t>
  </si>
  <si>
    <t xml:space="preserve">需核对：儿童是否在学校随机分组前入组。若之后入组，5.0要求证明基线等同，0.06 SD需调整且须满足r≥.60，可能降级</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</si>
</sst>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3"/>
      <name val="WenQuanYi Zen Hei"/>
      <family val="2"/>
    </font>
    <font>
      <b val="true"/>
      <sz val="13"/>
      <name val="Arial"/>
      <family val="0"/>
      <charset val="1"/>
    </font>
    <font>
      <b val="true"/>
      <sz val="10"/>
      <color rgb="FFFFFFFF"/>
      <name val="Arial"/>
      <family val="0"/>
      <charset val="1"/>
    </font>
    <font>
      <b val="true"/>
      <sz val="10"/>
      <color rgb="FFFFFFFF"/>
      <name val="WenQuanYi Zen Hei"/>
      <family val="2"/>
    </font>
    <font>
      <sz val="10"/>
      <name val="WenQuanYi Zen Hei"/>
      <family val="2"/>
    </font>
    <font>
      <sz val="10"/>
      <name val="Arial"/>
      <family val="0"/>
      <charset val="1"/>
    </font>
    <font>
      <b val="true"/>
      <sz val="10"/>
      <name val="WenQuanYi Zen Hei"/>
      <family val="2"/>
    </font>
    <font>
      <b val="true"/>
      <sz val="10"/>
      <name val="Arial"/>
      <family val="0"/>
      <charset val="1"/>
    </font>
    <font>
      <b val="true"/>
      <sz val="13"/>
      <color rgb="FFC00000"/>
      <name val="WenQuanYi Zen Hei"/>
      <family val="2"/>
      <charset val="1"/>
    </font>
    <font>
      <sz val="10"/>
      <name val="WenQuanYi Zen Hei"/>
      <family val="2"/>
      <charset val="1"/>
    </font>
    <font>
      <b val="true"/>
      <sz val="10"/>
      <color rgb="FFFFFFFF"/>
      <name val="WenQuanYi Zen Hei"/>
      <family val="2"/>
      <charset val="1"/>
    </font>
    <font>
      <b val="true"/>
      <sz val="10"/>
      <name val="WenQuanYi Zen Hei"/>
      <family val="2"/>
      <charset val="1"/>
    </font>
    <font>
      <b val="true"/>
      <sz val="11"/>
      <name val="WenQuanYi Zen Hei"/>
      <family val="2"/>
      <charset val="1"/>
    </font>
    <font>
      <b val="true"/>
      <sz val="13"/>
      <name val="WenQuanYi Zen Hei"/>
      <family val="2"/>
      <charset val="1"/>
    </font>
  </fonts>
  <fills count="7">
    <fill>
      <patternFill patternType="none"/>
    </fill>
    <fill>
      <patternFill patternType="gray125"/>
    </fill>
    <fill>
      <patternFill patternType="solid">
        <fgColor rgb="FF305496"/>
        <bgColor rgb="FF666699"/>
      </patternFill>
    </fill>
    <fill>
      <patternFill patternType="solid">
        <fgColor rgb="FFE2EFDA"/>
        <bgColor rgb="FFFCE4D6"/>
      </patternFill>
    </fill>
    <fill>
      <patternFill patternType="solid">
        <fgColor rgb="FFF8CBAD"/>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4" fontId="7" fillId="2" borderId="0" xfId="0" applyFont="true" applyBorder="false" applyAlignment="true" applyProtection="false">
      <alignment horizontal="center"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center" vertical="top" textRotation="0" wrapText="false" indent="0" shrinkToFit="false"/>
      <protection locked="true" hidden="false"/>
    </xf>
    <xf numFmtId="164" fontId="8" fillId="3" borderId="0" xfId="0" applyFont="true" applyBorder="false" applyAlignment="true" applyProtection="false">
      <alignment horizontal="center" vertical="top"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center" vertical="top" textRotation="0" wrapText="true" indent="0" shrinkToFit="false"/>
      <protection locked="true" hidden="false"/>
    </xf>
    <xf numFmtId="165" fontId="11" fillId="0" borderId="0" xfId="0" applyFont="true" applyBorder="false" applyAlignment="true" applyProtection="false">
      <alignment horizontal="center"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70"/>
    <col collapsed="false" customWidth="true" hidden="false" outlineLevel="0" max="7" min="7" style="0" width="2"/>
  </cols>
  <sheetData>
    <row r="1" customFormat="false" ht="17.15" hidden="false" customHeight="false" outlineLevel="0" collapsed="false">
      <c r="A1" s="1" t="s">
        <v>0</v>
      </c>
    </row>
    <row r="3" customFormat="false" ht="15" hidden="false" customHeight="false" outlineLevel="0" collapsed="false">
      <c r="B3" s="2"/>
      <c r="C3" s="3" t="s">
        <v>1</v>
      </c>
      <c r="D3" s="3" t="s">
        <v>2</v>
      </c>
      <c r="E3" s="3" t="s">
        <v>3</v>
      </c>
    </row>
    <row r="4" customFormat="false" ht="15" hidden="false" customHeight="false" outlineLevel="0" collapsed="false">
      <c r="B4" s="4" t="s">
        <v>4</v>
      </c>
      <c r="C4" s="5" t="n">
        <f aca="false">COUNTIFS($A$12:$A$93,"母本",$B$12:$B$93,"单一被试",$E$12:$E$93,"纳入")</f>
        <v>15</v>
      </c>
      <c r="D4" s="5" t="n">
        <f aca="false">COUNTIFS($A$12:$A$93,"母本",$B$12:$B$93,"组间设计",$E$12:$E$93,"纳入")</f>
        <v>1</v>
      </c>
      <c r="E4" s="5" t="n">
        <f aca="false">C4+D4</f>
        <v>16</v>
      </c>
    </row>
    <row r="5" customFormat="false" ht="15" hidden="false" customHeight="false" outlineLevel="0" collapsed="false">
      <c r="B5" s="4" t="s">
        <v>5</v>
      </c>
      <c r="C5" s="5" t="n">
        <f aca="false">COUNTIFS($A$12:$A$93,"新检索",$B$12:$B$93,"单一被试",$E$12:$E$93,"纳入")</f>
        <v>28</v>
      </c>
      <c r="D5" s="5" t="n">
        <f aca="false">COUNTIFS($A$12:$A$93,"新检索",$B$12:$B$93,"组间设计",$E$12:$E$93,"纳入")</f>
        <v>2</v>
      </c>
      <c r="E5" s="5" t="n">
        <f aca="false">C5+D5</f>
        <v>30</v>
      </c>
    </row>
    <row r="6" customFormat="false" ht="15" hidden="false" customHeight="false" outlineLevel="0" collapsed="false">
      <c r="B6" s="4" t="s">
        <v>6</v>
      </c>
      <c r="C6" s="5" t="n">
        <f aca="false">COUNTIFS($A$12:$A$93,"中文",$B$12:$B$93,"单一被试",$E$12:$E$93,"纳入")</f>
        <v>1</v>
      </c>
      <c r="D6" s="5" t="n">
        <f aca="false">COUNTIFS($A$12:$A$93,"中文",$B$12:$B$93,"组间设计",$E$12:$E$93,"纳入")</f>
        <v>1</v>
      </c>
      <c r="E6" s="5" t="n">
        <f aca="false">C6+D6</f>
        <v>2</v>
      </c>
    </row>
    <row r="7" customFormat="false" ht="15" hidden="false" customHeight="false" outlineLevel="0" collapsed="false">
      <c r="B7" s="6" t="s">
        <v>7</v>
      </c>
      <c r="C7" s="7" t="n">
        <f aca="false">SUM(C4:C6)</f>
        <v>44</v>
      </c>
      <c r="D7" s="7" t="n">
        <f aca="false">SUM(D4:D6)</f>
        <v>4</v>
      </c>
      <c r="E7" s="7" t="n">
        <f aca="false">SUM(E4:E6)</f>
        <v>48</v>
      </c>
    </row>
    <row r="8" customFormat="false" ht="15" hidden="false" customHeight="false" outlineLevel="0" collapsed="false">
      <c r="B8" s="4" t="s">
        <v>8</v>
      </c>
      <c r="C8" s="5" t="n">
        <f aca="false">COUNTIFS($B$12:$B$93,"单一被试",$E$12:$E$93,"排除")</f>
        <v>26</v>
      </c>
      <c r="D8" s="5" t="n">
        <f aca="false">COUNTIFS($B$12:$B$93,"组间设计",$E$12:$E$93,"排除")</f>
        <v>8</v>
      </c>
      <c r="E8" s="5" t="n">
        <f aca="false">C8+D8</f>
        <v>34</v>
      </c>
    </row>
    <row r="9" customFormat="false" ht="15" hidden="false" customHeight="false" outlineLevel="0" collapsed="false">
      <c r="B9" s="4" t="s">
        <v>9</v>
      </c>
      <c r="C9" s="5" t="n">
        <f aca="false">C7+C8</f>
        <v>70</v>
      </c>
      <c r="D9" s="5" t="n">
        <f aca="false">D7+D8</f>
        <v>12</v>
      </c>
      <c r="E9" s="5" t="n">
        <f aca="false">E7+E8</f>
        <v>82</v>
      </c>
    </row>
    <row r="11" customFormat="false" ht="15" hidden="false" customHeight="false" outlineLevel="0" collapsed="false">
      <c r="A11" s="8" t="s">
        <v>10</v>
      </c>
      <c r="B11" s="8" t="s">
        <v>11</v>
      </c>
      <c r="C11" s="8" t="s">
        <v>12</v>
      </c>
      <c r="D11" s="9" t="s">
        <v>13</v>
      </c>
      <c r="E11" s="8" t="s">
        <v>14</v>
      </c>
      <c r="F11" s="8" t="s">
        <v>15</v>
      </c>
    </row>
    <row r="12" customFormat="false" ht="15" hidden="false" customHeight="false" outlineLevel="0" collapsed="false">
      <c r="A12" s="10" t="s">
        <v>16</v>
      </c>
      <c r="B12" s="10" t="s">
        <v>1</v>
      </c>
      <c r="C12" s="11" t="s">
        <v>17</v>
      </c>
      <c r="D12" s="10" t="s">
        <v>18</v>
      </c>
      <c r="E12" s="12" t="s">
        <v>19</v>
      </c>
      <c r="F12" s="11" t="s">
        <v>20</v>
      </c>
    </row>
    <row r="13" customFormat="false" ht="15" hidden="false" customHeight="false" outlineLevel="0" collapsed="false">
      <c r="A13" s="10" t="s">
        <v>16</v>
      </c>
      <c r="B13" s="10" t="s">
        <v>1</v>
      </c>
      <c r="C13" s="11" t="s">
        <v>21</v>
      </c>
      <c r="D13" s="10" t="s">
        <v>18</v>
      </c>
      <c r="E13" s="12" t="s">
        <v>19</v>
      </c>
      <c r="F13" s="11" t="s">
        <v>20</v>
      </c>
    </row>
    <row r="14" customFormat="false" ht="15" hidden="false" customHeight="false" outlineLevel="0" collapsed="false">
      <c r="A14" s="10" t="s">
        <v>16</v>
      </c>
      <c r="B14" s="10" t="s">
        <v>1</v>
      </c>
      <c r="C14" s="11" t="s">
        <v>22</v>
      </c>
      <c r="D14" s="10" t="s">
        <v>18</v>
      </c>
      <c r="E14" s="12" t="s">
        <v>19</v>
      </c>
      <c r="F14" s="11" t="s">
        <v>20</v>
      </c>
    </row>
    <row r="15" customFormat="false" ht="15" hidden="false" customHeight="false" outlineLevel="0" collapsed="false">
      <c r="A15" s="10" t="s">
        <v>16</v>
      </c>
      <c r="B15" s="10" t="s">
        <v>1</v>
      </c>
      <c r="C15" s="11" t="s">
        <v>23</v>
      </c>
      <c r="D15" s="10" t="s">
        <v>18</v>
      </c>
      <c r="E15" s="12" t="s">
        <v>19</v>
      </c>
      <c r="F15" s="11" t="s">
        <v>20</v>
      </c>
    </row>
    <row r="16" customFormat="false" ht="15" hidden="false" customHeight="false" outlineLevel="0" collapsed="false">
      <c r="A16" s="10" t="s">
        <v>16</v>
      </c>
      <c r="B16" s="10" t="s">
        <v>1</v>
      </c>
      <c r="C16" s="11" t="s">
        <v>24</v>
      </c>
      <c r="D16" s="10" t="s">
        <v>18</v>
      </c>
      <c r="E16" s="12" t="s">
        <v>19</v>
      </c>
      <c r="F16" s="11" t="s">
        <v>20</v>
      </c>
    </row>
    <row r="17" customFormat="false" ht="15" hidden="false" customHeight="false" outlineLevel="0" collapsed="false">
      <c r="A17" s="10" t="s">
        <v>16</v>
      </c>
      <c r="B17" s="10" t="s">
        <v>1</v>
      </c>
      <c r="C17" s="11" t="s">
        <v>25</v>
      </c>
      <c r="D17" s="10" t="s">
        <v>26</v>
      </c>
      <c r="E17" s="12" t="s">
        <v>19</v>
      </c>
      <c r="F17" s="11" t="s">
        <v>20</v>
      </c>
    </row>
    <row r="18" customFormat="false" ht="15" hidden="false" customHeight="false" outlineLevel="0" collapsed="false">
      <c r="A18" s="10" t="s">
        <v>16</v>
      </c>
      <c r="B18" s="10" t="s">
        <v>1</v>
      </c>
      <c r="C18" s="11" t="s">
        <v>27</v>
      </c>
      <c r="D18" s="10" t="s">
        <v>18</v>
      </c>
      <c r="E18" s="12" t="s">
        <v>19</v>
      </c>
      <c r="F18" s="11" t="s">
        <v>20</v>
      </c>
    </row>
    <row r="19" customFormat="false" ht="15" hidden="false" customHeight="false" outlineLevel="0" collapsed="false">
      <c r="A19" s="10" t="s">
        <v>16</v>
      </c>
      <c r="B19" s="10" t="s">
        <v>1</v>
      </c>
      <c r="C19" s="11" t="s">
        <v>28</v>
      </c>
      <c r="D19" s="10" t="s">
        <v>26</v>
      </c>
      <c r="E19" s="12" t="s">
        <v>19</v>
      </c>
      <c r="F19" s="11" t="s">
        <v>20</v>
      </c>
    </row>
    <row r="20" customFormat="false" ht="15" hidden="false" customHeight="false" outlineLevel="0" collapsed="false">
      <c r="A20" s="10" t="s">
        <v>16</v>
      </c>
      <c r="B20" s="10" t="s">
        <v>1</v>
      </c>
      <c r="C20" s="11" t="s">
        <v>29</v>
      </c>
      <c r="D20" s="10" t="s">
        <v>18</v>
      </c>
      <c r="E20" s="12" t="s">
        <v>19</v>
      </c>
      <c r="F20" s="11" t="s">
        <v>20</v>
      </c>
    </row>
    <row r="21" customFormat="false" ht="15" hidden="false" customHeight="false" outlineLevel="0" collapsed="false">
      <c r="A21" s="10" t="s">
        <v>16</v>
      </c>
      <c r="B21" s="10" t="s">
        <v>1</v>
      </c>
      <c r="C21" s="11" t="s">
        <v>30</v>
      </c>
      <c r="D21" s="10" t="s">
        <v>26</v>
      </c>
      <c r="E21" s="12" t="s">
        <v>19</v>
      </c>
      <c r="F21" s="11" t="s">
        <v>20</v>
      </c>
    </row>
    <row r="22" customFormat="false" ht="15" hidden="false" customHeight="false" outlineLevel="0" collapsed="false">
      <c r="A22" s="10" t="s">
        <v>16</v>
      </c>
      <c r="B22" s="10" t="s">
        <v>1</v>
      </c>
      <c r="C22" s="11" t="s">
        <v>31</v>
      </c>
      <c r="D22" s="10" t="s">
        <v>18</v>
      </c>
      <c r="E22" s="12" t="s">
        <v>19</v>
      </c>
      <c r="F22" s="11" t="s">
        <v>20</v>
      </c>
    </row>
    <row r="23" customFormat="false" ht="15" hidden="false" customHeight="false" outlineLevel="0" collapsed="false">
      <c r="A23" s="10" t="s">
        <v>16</v>
      </c>
      <c r="B23" s="10" t="s">
        <v>1</v>
      </c>
      <c r="C23" s="11" t="s">
        <v>32</v>
      </c>
      <c r="D23" s="10" t="s">
        <v>18</v>
      </c>
      <c r="E23" s="12" t="s">
        <v>19</v>
      </c>
      <c r="F23" s="11" t="s">
        <v>20</v>
      </c>
    </row>
    <row r="24" customFormat="false" ht="15" hidden="false" customHeight="false" outlineLevel="0" collapsed="false">
      <c r="A24" s="10" t="s">
        <v>16</v>
      </c>
      <c r="B24" s="10" t="s">
        <v>1</v>
      </c>
      <c r="C24" s="11" t="s">
        <v>33</v>
      </c>
      <c r="D24" s="10" t="s">
        <v>18</v>
      </c>
      <c r="E24" s="12" t="s">
        <v>19</v>
      </c>
      <c r="F24" s="11" t="s">
        <v>20</v>
      </c>
    </row>
    <row r="25" customFormat="false" ht="15" hidden="false" customHeight="false" outlineLevel="0" collapsed="false">
      <c r="A25" s="10" t="s">
        <v>16</v>
      </c>
      <c r="B25" s="10" t="s">
        <v>1</v>
      </c>
      <c r="C25" s="11" t="s">
        <v>34</v>
      </c>
      <c r="D25" s="10" t="s">
        <v>26</v>
      </c>
      <c r="E25" s="12" t="s">
        <v>19</v>
      </c>
      <c r="F25" s="11" t="s">
        <v>20</v>
      </c>
    </row>
    <row r="26" customFormat="false" ht="15" hidden="false" customHeight="false" outlineLevel="0" collapsed="false">
      <c r="A26" s="10" t="s">
        <v>16</v>
      </c>
      <c r="B26" s="10" t="s">
        <v>1</v>
      </c>
      <c r="C26" s="11" t="s">
        <v>35</v>
      </c>
      <c r="D26" s="10" t="s">
        <v>26</v>
      </c>
      <c r="E26" s="12" t="s">
        <v>19</v>
      </c>
      <c r="F26" s="11" t="s">
        <v>20</v>
      </c>
    </row>
    <row r="27" customFormat="false" ht="26.85" hidden="false" customHeight="false" outlineLevel="0" collapsed="false">
      <c r="A27" s="10" t="s">
        <v>36</v>
      </c>
      <c r="B27" s="10" t="s">
        <v>1</v>
      </c>
      <c r="C27" s="11" t="s">
        <v>37</v>
      </c>
      <c r="D27" s="10" t="s">
        <v>18</v>
      </c>
      <c r="E27" s="12" t="s">
        <v>19</v>
      </c>
      <c r="F27" s="11" t="s">
        <v>20</v>
      </c>
    </row>
    <row r="28" customFormat="false" ht="15" hidden="false" customHeight="false" outlineLevel="0" collapsed="false">
      <c r="A28" s="10" t="s">
        <v>36</v>
      </c>
      <c r="B28" s="10" t="s">
        <v>1</v>
      </c>
      <c r="C28" s="11" t="s">
        <v>38</v>
      </c>
      <c r="D28" s="10" t="s">
        <v>26</v>
      </c>
      <c r="E28" s="12" t="s">
        <v>19</v>
      </c>
      <c r="F28" s="11" t="s">
        <v>20</v>
      </c>
    </row>
    <row r="29" customFormat="false" ht="26.85" hidden="false" customHeight="false" outlineLevel="0" collapsed="false">
      <c r="A29" s="10" t="s">
        <v>36</v>
      </c>
      <c r="B29" s="10" t="s">
        <v>1</v>
      </c>
      <c r="C29" s="11" t="s">
        <v>39</v>
      </c>
      <c r="D29" s="10" t="s">
        <v>18</v>
      </c>
      <c r="E29" s="12" t="s">
        <v>19</v>
      </c>
      <c r="F29" s="11" t="s">
        <v>20</v>
      </c>
    </row>
    <row r="30" customFormat="false" ht="26.85" hidden="false" customHeight="false" outlineLevel="0" collapsed="false">
      <c r="A30" s="10" t="s">
        <v>36</v>
      </c>
      <c r="B30" s="10" t="s">
        <v>1</v>
      </c>
      <c r="C30" s="11" t="s">
        <v>40</v>
      </c>
      <c r="D30" s="10" t="s">
        <v>18</v>
      </c>
      <c r="E30" s="12" t="s">
        <v>19</v>
      </c>
      <c r="F30" s="11" t="s">
        <v>20</v>
      </c>
    </row>
    <row r="31" customFormat="false" ht="26.85" hidden="false" customHeight="false" outlineLevel="0" collapsed="false">
      <c r="A31" s="10" t="s">
        <v>36</v>
      </c>
      <c r="B31" s="10" t="s">
        <v>1</v>
      </c>
      <c r="C31" s="11" t="s">
        <v>41</v>
      </c>
      <c r="D31" s="10" t="s">
        <v>26</v>
      </c>
      <c r="E31" s="12" t="s">
        <v>19</v>
      </c>
      <c r="F31" s="11" t="s">
        <v>20</v>
      </c>
    </row>
    <row r="32" customFormat="false" ht="15" hidden="false" customHeight="false" outlineLevel="0" collapsed="false">
      <c r="A32" s="10" t="s">
        <v>36</v>
      </c>
      <c r="B32" s="10" t="s">
        <v>1</v>
      </c>
      <c r="C32" s="11" t="s">
        <v>42</v>
      </c>
      <c r="D32" s="10" t="s">
        <v>18</v>
      </c>
      <c r="E32" s="12" t="s">
        <v>19</v>
      </c>
      <c r="F32" s="11" t="s">
        <v>20</v>
      </c>
    </row>
    <row r="33" customFormat="false" ht="26.85" hidden="false" customHeight="false" outlineLevel="0" collapsed="false">
      <c r="A33" s="10" t="s">
        <v>36</v>
      </c>
      <c r="B33" s="10" t="s">
        <v>1</v>
      </c>
      <c r="C33" s="11" t="s">
        <v>43</v>
      </c>
      <c r="D33" s="10" t="s">
        <v>18</v>
      </c>
      <c r="E33" s="12" t="s">
        <v>19</v>
      </c>
      <c r="F33" s="11" t="s">
        <v>20</v>
      </c>
    </row>
    <row r="34" customFormat="false" ht="26.85" hidden="false" customHeight="false" outlineLevel="0" collapsed="false">
      <c r="A34" s="10" t="s">
        <v>36</v>
      </c>
      <c r="B34" s="10" t="s">
        <v>1</v>
      </c>
      <c r="C34" s="11" t="s">
        <v>44</v>
      </c>
      <c r="D34" s="10" t="s">
        <v>18</v>
      </c>
      <c r="E34" s="12" t="s">
        <v>19</v>
      </c>
      <c r="F34" s="11" t="s">
        <v>20</v>
      </c>
    </row>
    <row r="35" customFormat="false" ht="26.85" hidden="false" customHeight="false" outlineLevel="0" collapsed="false">
      <c r="A35" s="10" t="s">
        <v>36</v>
      </c>
      <c r="B35" s="10" t="s">
        <v>1</v>
      </c>
      <c r="C35" s="11" t="s">
        <v>45</v>
      </c>
      <c r="D35" s="10" t="s">
        <v>18</v>
      </c>
      <c r="E35" s="12" t="s">
        <v>19</v>
      </c>
      <c r="F35" s="11" t="s">
        <v>20</v>
      </c>
    </row>
    <row r="36" customFormat="false" ht="26.85" hidden="false" customHeight="false" outlineLevel="0" collapsed="false">
      <c r="A36" s="10" t="s">
        <v>36</v>
      </c>
      <c r="B36" s="10" t="s">
        <v>1</v>
      </c>
      <c r="C36" s="11" t="s">
        <v>46</v>
      </c>
      <c r="D36" s="10" t="s">
        <v>18</v>
      </c>
      <c r="E36" s="12" t="s">
        <v>19</v>
      </c>
      <c r="F36" s="11" t="s">
        <v>20</v>
      </c>
    </row>
    <row r="37" customFormat="false" ht="26.85" hidden="false" customHeight="false" outlineLevel="0" collapsed="false">
      <c r="A37" s="10" t="s">
        <v>36</v>
      </c>
      <c r="B37" s="10" t="s">
        <v>1</v>
      </c>
      <c r="C37" s="11" t="s">
        <v>47</v>
      </c>
      <c r="D37" s="10" t="s">
        <v>18</v>
      </c>
      <c r="E37" s="12" t="s">
        <v>19</v>
      </c>
      <c r="F37" s="11" t="s">
        <v>20</v>
      </c>
    </row>
    <row r="38" customFormat="false" ht="26.85" hidden="false" customHeight="false" outlineLevel="0" collapsed="false">
      <c r="A38" s="10" t="s">
        <v>36</v>
      </c>
      <c r="B38" s="10" t="s">
        <v>1</v>
      </c>
      <c r="C38" s="11" t="s">
        <v>48</v>
      </c>
      <c r="D38" s="10" t="s">
        <v>18</v>
      </c>
      <c r="E38" s="12" t="s">
        <v>19</v>
      </c>
      <c r="F38" s="11" t="s">
        <v>20</v>
      </c>
    </row>
    <row r="39" customFormat="false" ht="15" hidden="false" customHeight="false" outlineLevel="0" collapsed="false">
      <c r="A39" s="10" t="s">
        <v>36</v>
      </c>
      <c r="B39" s="10" t="s">
        <v>1</v>
      </c>
      <c r="C39" s="11" t="s">
        <v>49</v>
      </c>
      <c r="D39" s="10" t="s">
        <v>18</v>
      </c>
      <c r="E39" s="12" t="s">
        <v>19</v>
      </c>
      <c r="F39" s="11" t="s">
        <v>20</v>
      </c>
    </row>
    <row r="40" customFormat="false" ht="26.85" hidden="false" customHeight="false" outlineLevel="0" collapsed="false">
      <c r="A40" s="10" t="s">
        <v>36</v>
      </c>
      <c r="B40" s="10" t="s">
        <v>1</v>
      </c>
      <c r="C40" s="11" t="s">
        <v>50</v>
      </c>
      <c r="D40" s="10" t="s">
        <v>18</v>
      </c>
      <c r="E40" s="12" t="s">
        <v>19</v>
      </c>
      <c r="F40" s="11" t="s">
        <v>20</v>
      </c>
    </row>
    <row r="41" customFormat="false" ht="26.85" hidden="false" customHeight="false" outlineLevel="0" collapsed="false">
      <c r="A41" s="10" t="s">
        <v>36</v>
      </c>
      <c r="B41" s="10" t="s">
        <v>1</v>
      </c>
      <c r="C41" s="11" t="s">
        <v>51</v>
      </c>
      <c r="D41" s="10" t="s">
        <v>18</v>
      </c>
      <c r="E41" s="12" t="s">
        <v>19</v>
      </c>
      <c r="F41" s="11" t="s">
        <v>20</v>
      </c>
    </row>
    <row r="42" customFormat="false" ht="26.85" hidden="false" customHeight="false" outlineLevel="0" collapsed="false">
      <c r="A42" s="10" t="s">
        <v>36</v>
      </c>
      <c r="B42" s="10" t="s">
        <v>1</v>
      </c>
      <c r="C42" s="11" t="s">
        <v>52</v>
      </c>
      <c r="D42" s="10" t="s">
        <v>18</v>
      </c>
      <c r="E42" s="12" t="s">
        <v>19</v>
      </c>
      <c r="F42" s="11" t="s">
        <v>20</v>
      </c>
    </row>
    <row r="43" customFormat="false" ht="26.85" hidden="false" customHeight="false" outlineLevel="0" collapsed="false">
      <c r="A43" s="10" t="s">
        <v>36</v>
      </c>
      <c r="B43" s="10" t="s">
        <v>1</v>
      </c>
      <c r="C43" s="11" t="s">
        <v>53</v>
      </c>
      <c r="D43" s="10" t="s">
        <v>18</v>
      </c>
      <c r="E43" s="12" t="s">
        <v>19</v>
      </c>
      <c r="F43" s="11" t="s">
        <v>20</v>
      </c>
    </row>
    <row r="44" customFormat="false" ht="26.85" hidden="false" customHeight="false" outlineLevel="0" collapsed="false">
      <c r="A44" s="10" t="s">
        <v>36</v>
      </c>
      <c r="B44" s="10" t="s">
        <v>1</v>
      </c>
      <c r="C44" s="11" t="s">
        <v>54</v>
      </c>
      <c r="D44" s="10" t="s">
        <v>18</v>
      </c>
      <c r="E44" s="12" t="s">
        <v>19</v>
      </c>
      <c r="F44" s="11" t="s">
        <v>20</v>
      </c>
    </row>
    <row r="45" customFormat="false" ht="26.85" hidden="false" customHeight="false" outlineLevel="0" collapsed="false">
      <c r="A45" s="10" t="s">
        <v>36</v>
      </c>
      <c r="B45" s="10" t="s">
        <v>1</v>
      </c>
      <c r="C45" s="11" t="s">
        <v>55</v>
      </c>
      <c r="D45" s="10" t="s">
        <v>26</v>
      </c>
      <c r="E45" s="12" t="s">
        <v>19</v>
      </c>
      <c r="F45" s="11" t="s">
        <v>20</v>
      </c>
    </row>
    <row r="46" customFormat="false" ht="26.85" hidden="false" customHeight="false" outlineLevel="0" collapsed="false">
      <c r="A46" s="10" t="s">
        <v>36</v>
      </c>
      <c r="B46" s="10" t="s">
        <v>1</v>
      </c>
      <c r="C46" s="11" t="s">
        <v>56</v>
      </c>
      <c r="D46" s="10" t="s">
        <v>26</v>
      </c>
      <c r="E46" s="12" t="s">
        <v>19</v>
      </c>
      <c r="F46" s="11" t="s">
        <v>20</v>
      </c>
    </row>
    <row r="47" customFormat="false" ht="26.85" hidden="false" customHeight="false" outlineLevel="0" collapsed="false">
      <c r="A47" s="10" t="s">
        <v>36</v>
      </c>
      <c r="B47" s="10" t="s">
        <v>1</v>
      </c>
      <c r="C47" s="11" t="s">
        <v>57</v>
      </c>
      <c r="D47" s="10" t="s">
        <v>18</v>
      </c>
      <c r="E47" s="12" t="s">
        <v>19</v>
      </c>
      <c r="F47" s="11" t="s">
        <v>20</v>
      </c>
    </row>
    <row r="48" customFormat="false" ht="26.85" hidden="false" customHeight="false" outlineLevel="0" collapsed="false">
      <c r="A48" s="10" t="s">
        <v>36</v>
      </c>
      <c r="B48" s="10" t="s">
        <v>1</v>
      </c>
      <c r="C48" s="11" t="s">
        <v>58</v>
      </c>
      <c r="D48" s="10" t="s">
        <v>18</v>
      </c>
      <c r="E48" s="12" t="s">
        <v>19</v>
      </c>
      <c r="F48" s="11" t="s">
        <v>20</v>
      </c>
    </row>
    <row r="49" customFormat="false" ht="26.85" hidden="false" customHeight="false" outlineLevel="0" collapsed="false">
      <c r="A49" s="10" t="s">
        <v>36</v>
      </c>
      <c r="B49" s="10" t="s">
        <v>1</v>
      </c>
      <c r="C49" s="11" t="s">
        <v>59</v>
      </c>
      <c r="D49" s="10" t="s">
        <v>18</v>
      </c>
      <c r="E49" s="12" t="s">
        <v>19</v>
      </c>
      <c r="F49" s="11" t="s">
        <v>20</v>
      </c>
    </row>
    <row r="50" customFormat="false" ht="26.85" hidden="false" customHeight="false" outlineLevel="0" collapsed="false">
      <c r="A50" s="10" t="s">
        <v>36</v>
      </c>
      <c r="B50" s="10" t="s">
        <v>1</v>
      </c>
      <c r="C50" s="11" t="s">
        <v>60</v>
      </c>
      <c r="D50" s="10" t="s">
        <v>18</v>
      </c>
      <c r="E50" s="12" t="s">
        <v>19</v>
      </c>
      <c r="F50" s="11" t="s">
        <v>20</v>
      </c>
    </row>
    <row r="51" customFormat="false" ht="15" hidden="false" customHeight="false" outlineLevel="0" collapsed="false">
      <c r="A51" s="10" t="s">
        <v>36</v>
      </c>
      <c r="B51" s="10" t="s">
        <v>1</v>
      </c>
      <c r="C51" s="11" t="s">
        <v>61</v>
      </c>
      <c r="D51" s="10" t="s">
        <v>18</v>
      </c>
      <c r="E51" s="12" t="s">
        <v>19</v>
      </c>
      <c r="F51" s="11" t="s">
        <v>20</v>
      </c>
    </row>
    <row r="52" customFormat="false" ht="26.85" hidden="false" customHeight="false" outlineLevel="0" collapsed="false">
      <c r="A52" s="10" t="s">
        <v>36</v>
      </c>
      <c r="B52" s="10" t="s">
        <v>1</v>
      </c>
      <c r="C52" s="11" t="s">
        <v>62</v>
      </c>
      <c r="D52" s="10" t="s">
        <v>18</v>
      </c>
      <c r="E52" s="12" t="s">
        <v>19</v>
      </c>
      <c r="F52" s="11" t="s">
        <v>20</v>
      </c>
    </row>
    <row r="53" customFormat="false" ht="26.85" hidden="false" customHeight="false" outlineLevel="0" collapsed="false">
      <c r="A53" s="10" t="s">
        <v>36</v>
      </c>
      <c r="B53" s="10" t="s">
        <v>1</v>
      </c>
      <c r="C53" s="11" t="s">
        <v>63</v>
      </c>
      <c r="D53" s="10" t="s">
        <v>26</v>
      </c>
      <c r="E53" s="12" t="s">
        <v>19</v>
      </c>
      <c r="F53" s="11" t="s">
        <v>20</v>
      </c>
    </row>
    <row r="54" customFormat="false" ht="26.85" hidden="false" customHeight="false" outlineLevel="0" collapsed="false">
      <c r="A54" s="10" t="s">
        <v>36</v>
      </c>
      <c r="B54" s="10" t="s">
        <v>1</v>
      </c>
      <c r="C54" s="11" t="s">
        <v>64</v>
      </c>
      <c r="D54" s="10" t="s">
        <v>26</v>
      </c>
      <c r="E54" s="12" t="s">
        <v>19</v>
      </c>
      <c r="F54" s="11" t="s">
        <v>20</v>
      </c>
    </row>
    <row r="55" customFormat="false" ht="26.85" hidden="false" customHeight="false" outlineLevel="0" collapsed="false">
      <c r="A55" s="10" t="s">
        <v>65</v>
      </c>
      <c r="B55" s="10" t="s">
        <v>1</v>
      </c>
      <c r="C55" s="10" t="s">
        <v>66</v>
      </c>
      <c r="D55" s="10" t="s">
        <v>18</v>
      </c>
      <c r="E55" s="12" t="s">
        <v>19</v>
      </c>
      <c r="F55" s="11" t="s">
        <v>20</v>
      </c>
    </row>
    <row r="56" customFormat="false" ht="15" hidden="false" customHeight="false" outlineLevel="0" collapsed="false">
      <c r="A56" s="10" t="s">
        <v>16</v>
      </c>
      <c r="B56" s="10" t="s">
        <v>2</v>
      </c>
      <c r="C56" s="11" t="s">
        <v>67</v>
      </c>
      <c r="D56" s="10" t="s">
        <v>26</v>
      </c>
      <c r="E56" s="12" t="s">
        <v>19</v>
      </c>
      <c r="F56" s="11" t="s">
        <v>20</v>
      </c>
    </row>
    <row r="57" customFormat="false" ht="26.85" hidden="false" customHeight="false" outlineLevel="0" collapsed="false">
      <c r="A57" s="10" t="s">
        <v>36</v>
      </c>
      <c r="B57" s="10" t="s">
        <v>2</v>
      </c>
      <c r="C57" s="11" t="s">
        <v>68</v>
      </c>
      <c r="D57" s="10" t="s">
        <v>26</v>
      </c>
      <c r="E57" s="12" t="s">
        <v>19</v>
      </c>
      <c r="F57" s="11" t="s">
        <v>20</v>
      </c>
    </row>
    <row r="58" customFormat="false" ht="26.85" hidden="false" customHeight="false" outlineLevel="0" collapsed="false">
      <c r="A58" s="10" t="s">
        <v>36</v>
      </c>
      <c r="B58" s="10" t="s">
        <v>2</v>
      </c>
      <c r="C58" s="11" t="s">
        <v>69</v>
      </c>
      <c r="D58" s="10" t="s">
        <v>26</v>
      </c>
      <c r="E58" s="12" t="s">
        <v>19</v>
      </c>
      <c r="F58" s="11" t="s">
        <v>20</v>
      </c>
    </row>
    <row r="59" customFormat="false" ht="26.85" hidden="false" customHeight="false" outlineLevel="0" collapsed="false">
      <c r="A59" s="10" t="s">
        <v>65</v>
      </c>
      <c r="B59" s="10" t="s">
        <v>2</v>
      </c>
      <c r="C59" s="10" t="s">
        <v>70</v>
      </c>
      <c r="D59" s="10" t="s">
        <v>26</v>
      </c>
      <c r="E59" s="12" t="s">
        <v>19</v>
      </c>
      <c r="F59" s="11" t="s">
        <v>20</v>
      </c>
    </row>
    <row r="60" customFormat="false" ht="15" hidden="false" customHeight="false" outlineLevel="0" collapsed="false">
      <c r="A60" s="10" t="s">
        <v>16</v>
      </c>
      <c r="B60" s="10" t="s">
        <v>1</v>
      </c>
      <c r="C60" s="11" t="s">
        <v>71</v>
      </c>
      <c r="D60" s="10" t="s">
        <v>26</v>
      </c>
      <c r="E60" s="13" t="s">
        <v>72</v>
      </c>
      <c r="F60" s="10" t="s">
        <v>73</v>
      </c>
    </row>
    <row r="61" customFormat="false" ht="26.85" hidden="false" customHeight="false" outlineLevel="0" collapsed="false">
      <c r="A61" s="10" t="s">
        <v>16</v>
      </c>
      <c r="B61" s="10" t="s">
        <v>1</v>
      </c>
      <c r="C61" s="11" t="s">
        <v>74</v>
      </c>
      <c r="D61" s="10" t="s">
        <v>18</v>
      </c>
      <c r="E61" s="13" t="s">
        <v>72</v>
      </c>
      <c r="F61" s="10" t="s">
        <v>75</v>
      </c>
    </row>
    <row r="62" customFormat="false" ht="15" hidden="false" customHeight="false" outlineLevel="0" collapsed="false">
      <c r="A62" s="10" t="s">
        <v>16</v>
      </c>
      <c r="B62" s="10" t="s">
        <v>1</v>
      </c>
      <c r="C62" s="11" t="s">
        <v>76</v>
      </c>
      <c r="D62" s="10" t="s">
        <v>18</v>
      </c>
      <c r="E62" s="13" t="s">
        <v>72</v>
      </c>
      <c r="F62" s="10" t="s">
        <v>77</v>
      </c>
    </row>
    <row r="63" customFormat="false" ht="15" hidden="false" customHeight="false" outlineLevel="0" collapsed="false">
      <c r="A63" s="10" t="s">
        <v>16</v>
      </c>
      <c r="B63" s="10" t="s">
        <v>1</v>
      </c>
      <c r="C63" s="11" t="s">
        <v>78</v>
      </c>
      <c r="D63" s="10" t="s">
        <v>26</v>
      </c>
      <c r="E63" s="13" t="s">
        <v>72</v>
      </c>
      <c r="F63" s="10" t="s">
        <v>77</v>
      </c>
    </row>
    <row r="64" customFormat="false" ht="15" hidden="false" customHeight="false" outlineLevel="0" collapsed="false">
      <c r="A64" s="10" t="s">
        <v>16</v>
      </c>
      <c r="B64" s="10" t="s">
        <v>1</v>
      </c>
      <c r="C64" s="11" t="s">
        <v>79</v>
      </c>
      <c r="D64" s="10" t="s">
        <v>80</v>
      </c>
      <c r="E64" s="13" t="s">
        <v>72</v>
      </c>
      <c r="F64" s="11" t="s">
        <v>81</v>
      </c>
    </row>
    <row r="65" customFormat="false" ht="15" hidden="false" customHeight="false" outlineLevel="0" collapsed="false">
      <c r="A65" s="10" t="s">
        <v>16</v>
      </c>
      <c r="B65" s="10" t="s">
        <v>1</v>
      </c>
      <c r="C65" s="11" t="s">
        <v>82</v>
      </c>
      <c r="D65" s="10" t="s">
        <v>18</v>
      </c>
      <c r="E65" s="13" t="s">
        <v>72</v>
      </c>
      <c r="F65" s="10" t="s">
        <v>77</v>
      </c>
    </row>
    <row r="66" customFormat="false" ht="26.85" hidden="false" customHeight="false" outlineLevel="0" collapsed="false">
      <c r="A66" s="10" t="s">
        <v>16</v>
      </c>
      <c r="B66" s="10" t="s">
        <v>1</v>
      </c>
      <c r="C66" s="11" t="s">
        <v>83</v>
      </c>
      <c r="D66" s="10" t="s">
        <v>80</v>
      </c>
      <c r="E66" s="13" t="s">
        <v>72</v>
      </c>
      <c r="F66" s="11" t="s">
        <v>84</v>
      </c>
    </row>
    <row r="67" customFormat="false" ht="15" hidden="false" customHeight="false" outlineLevel="0" collapsed="false">
      <c r="A67" s="10" t="s">
        <v>16</v>
      </c>
      <c r="B67" s="10" t="s">
        <v>1</v>
      </c>
      <c r="C67" s="11" t="s">
        <v>85</v>
      </c>
      <c r="D67" s="10" t="s">
        <v>80</v>
      </c>
      <c r="E67" s="13" t="s">
        <v>72</v>
      </c>
      <c r="F67" s="11" t="s">
        <v>86</v>
      </c>
    </row>
    <row r="68" customFormat="false" ht="15" hidden="false" customHeight="false" outlineLevel="0" collapsed="false">
      <c r="A68" s="10" t="s">
        <v>16</v>
      </c>
      <c r="B68" s="10" t="s">
        <v>1</v>
      </c>
      <c r="C68" s="11" t="s">
        <v>87</v>
      </c>
      <c r="D68" s="10" t="s">
        <v>18</v>
      </c>
      <c r="E68" s="13" t="s">
        <v>72</v>
      </c>
      <c r="F68" s="10" t="s">
        <v>88</v>
      </c>
    </row>
    <row r="69" customFormat="false" ht="26.85" hidden="false" customHeight="false" outlineLevel="0" collapsed="false">
      <c r="A69" s="10" t="s">
        <v>16</v>
      </c>
      <c r="B69" s="10" t="s">
        <v>1</v>
      </c>
      <c r="C69" s="11" t="s">
        <v>89</v>
      </c>
      <c r="D69" s="10" t="s">
        <v>80</v>
      </c>
      <c r="E69" s="13" t="s">
        <v>72</v>
      </c>
      <c r="F69" s="11" t="s">
        <v>90</v>
      </c>
    </row>
    <row r="70" customFormat="false" ht="15" hidden="false" customHeight="false" outlineLevel="0" collapsed="false">
      <c r="A70" s="10" t="s">
        <v>36</v>
      </c>
      <c r="B70" s="10" t="s">
        <v>1</v>
      </c>
      <c r="C70" s="11" t="s">
        <v>91</v>
      </c>
      <c r="D70" s="10" t="s">
        <v>18</v>
      </c>
      <c r="E70" s="13" t="s">
        <v>72</v>
      </c>
      <c r="F70" s="10" t="s">
        <v>92</v>
      </c>
    </row>
    <row r="71" customFormat="false" ht="26.85" hidden="false" customHeight="false" outlineLevel="0" collapsed="false">
      <c r="A71" s="10" t="s">
        <v>36</v>
      </c>
      <c r="B71" s="10" t="s">
        <v>1</v>
      </c>
      <c r="C71" s="11" t="s">
        <v>93</v>
      </c>
      <c r="D71" s="10" t="s">
        <v>18</v>
      </c>
      <c r="E71" s="13" t="s">
        <v>72</v>
      </c>
      <c r="F71" s="10" t="s">
        <v>94</v>
      </c>
    </row>
    <row r="72" customFormat="false" ht="15" hidden="false" customHeight="false" outlineLevel="0" collapsed="false">
      <c r="A72" s="10" t="s">
        <v>36</v>
      </c>
      <c r="B72" s="10" t="s">
        <v>1</v>
      </c>
      <c r="C72" s="11" t="s">
        <v>95</v>
      </c>
      <c r="D72" s="10" t="s">
        <v>80</v>
      </c>
      <c r="E72" s="13" t="s">
        <v>72</v>
      </c>
      <c r="F72" s="11" t="s">
        <v>96</v>
      </c>
    </row>
    <row r="73" customFormat="false" ht="26.85" hidden="false" customHeight="false" outlineLevel="0" collapsed="false">
      <c r="A73" s="10" t="s">
        <v>36</v>
      </c>
      <c r="B73" s="10" t="s">
        <v>1</v>
      </c>
      <c r="C73" s="11" t="s">
        <v>97</v>
      </c>
      <c r="D73" s="10" t="s">
        <v>80</v>
      </c>
      <c r="E73" s="13" t="s">
        <v>72</v>
      </c>
      <c r="F73" s="11" t="s">
        <v>98</v>
      </c>
    </row>
    <row r="74" customFormat="false" ht="26.85" hidden="false" customHeight="false" outlineLevel="0" collapsed="false">
      <c r="A74" s="10" t="s">
        <v>36</v>
      </c>
      <c r="B74" s="10" t="s">
        <v>1</v>
      </c>
      <c r="C74" s="11" t="s">
        <v>99</v>
      </c>
      <c r="D74" s="10" t="s">
        <v>80</v>
      </c>
      <c r="E74" s="13" t="s">
        <v>72</v>
      </c>
      <c r="F74" s="11" t="s">
        <v>100</v>
      </c>
    </row>
    <row r="75" customFormat="false" ht="15" hidden="false" customHeight="false" outlineLevel="0" collapsed="false">
      <c r="A75" s="10" t="s">
        <v>36</v>
      </c>
      <c r="B75" s="10" t="s">
        <v>1</v>
      </c>
      <c r="C75" s="11" t="s">
        <v>101</v>
      </c>
      <c r="D75" s="10" t="s">
        <v>18</v>
      </c>
      <c r="E75" s="13" t="s">
        <v>72</v>
      </c>
      <c r="F75" s="10" t="s">
        <v>102</v>
      </c>
    </row>
    <row r="76" customFormat="false" ht="26.85" hidden="false" customHeight="false" outlineLevel="0" collapsed="false">
      <c r="A76" s="10" t="s">
        <v>36</v>
      </c>
      <c r="B76" s="10" t="s">
        <v>1</v>
      </c>
      <c r="C76" s="11" t="s">
        <v>103</v>
      </c>
      <c r="D76" s="10" t="s">
        <v>80</v>
      </c>
      <c r="E76" s="13" t="s">
        <v>72</v>
      </c>
      <c r="F76" s="11" t="s">
        <v>104</v>
      </c>
    </row>
    <row r="77" customFormat="false" ht="26.85" hidden="false" customHeight="false" outlineLevel="0" collapsed="false">
      <c r="A77" s="10" t="s">
        <v>36</v>
      </c>
      <c r="B77" s="10" t="s">
        <v>1</v>
      </c>
      <c r="C77" s="11" t="s">
        <v>105</v>
      </c>
      <c r="D77" s="10" t="s">
        <v>80</v>
      </c>
      <c r="E77" s="13" t="s">
        <v>72</v>
      </c>
      <c r="F77" s="11" t="s">
        <v>106</v>
      </c>
    </row>
    <row r="78" customFormat="false" ht="15" hidden="false" customHeight="false" outlineLevel="0" collapsed="false">
      <c r="A78" s="10" t="s">
        <v>36</v>
      </c>
      <c r="B78" s="10" t="s">
        <v>1</v>
      </c>
      <c r="C78" s="11" t="s">
        <v>107</v>
      </c>
      <c r="D78" s="10" t="s">
        <v>80</v>
      </c>
      <c r="E78" s="13" t="s">
        <v>72</v>
      </c>
      <c r="F78" s="11" t="s">
        <v>108</v>
      </c>
    </row>
    <row r="79" customFormat="false" ht="26.85" hidden="false" customHeight="false" outlineLevel="0" collapsed="false">
      <c r="A79" s="10" t="s">
        <v>36</v>
      </c>
      <c r="B79" s="10" t="s">
        <v>1</v>
      </c>
      <c r="C79" s="11" t="s">
        <v>109</v>
      </c>
      <c r="D79" s="10" t="s">
        <v>18</v>
      </c>
      <c r="E79" s="13" t="s">
        <v>72</v>
      </c>
      <c r="F79" s="10" t="s">
        <v>110</v>
      </c>
    </row>
    <row r="80" customFormat="false" ht="26.85" hidden="false" customHeight="false" outlineLevel="0" collapsed="false">
      <c r="A80" s="10" t="s">
        <v>36</v>
      </c>
      <c r="B80" s="10" t="s">
        <v>1</v>
      </c>
      <c r="C80" s="11" t="s">
        <v>111</v>
      </c>
      <c r="D80" s="10" t="s">
        <v>18</v>
      </c>
      <c r="E80" s="13" t="s">
        <v>72</v>
      </c>
      <c r="F80" s="10" t="s">
        <v>112</v>
      </c>
    </row>
    <row r="81" customFormat="false" ht="26.85" hidden="false" customHeight="false" outlineLevel="0" collapsed="false">
      <c r="A81" s="10" t="s">
        <v>36</v>
      </c>
      <c r="B81" s="10" t="s">
        <v>1</v>
      </c>
      <c r="C81" s="11" t="s">
        <v>113</v>
      </c>
      <c r="D81" s="10" t="s">
        <v>80</v>
      </c>
      <c r="E81" s="13" t="s">
        <v>72</v>
      </c>
      <c r="F81" s="11" t="s">
        <v>114</v>
      </c>
    </row>
    <row r="82" customFormat="false" ht="26.85" hidden="false" customHeight="false" outlineLevel="0" collapsed="false">
      <c r="A82" s="10" t="s">
        <v>36</v>
      </c>
      <c r="B82" s="10" t="s">
        <v>1</v>
      </c>
      <c r="C82" s="11" t="s">
        <v>115</v>
      </c>
      <c r="D82" s="10" t="s">
        <v>80</v>
      </c>
      <c r="E82" s="13" t="s">
        <v>72</v>
      </c>
      <c r="F82" s="11" t="s">
        <v>114</v>
      </c>
    </row>
    <row r="83" customFormat="false" ht="26.85" hidden="false" customHeight="false" outlineLevel="0" collapsed="false">
      <c r="A83" s="10" t="s">
        <v>36</v>
      </c>
      <c r="B83" s="10" t="s">
        <v>1</v>
      </c>
      <c r="C83" s="11" t="s">
        <v>116</v>
      </c>
      <c r="D83" s="10" t="s">
        <v>80</v>
      </c>
      <c r="E83" s="13" t="s">
        <v>72</v>
      </c>
      <c r="F83" s="11" t="s">
        <v>117</v>
      </c>
    </row>
    <row r="84" customFormat="false" ht="26.85" hidden="false" customHeight="false" outlineLevel="0" collapsed="false">
      <c r="A84" s="10" t="s">
        <v>36</v>
      </c>
      <c r="B84" s="10" t="s">
        <v>1</v>
      </c>
      <c r="C84" s="11" t="s">
        <v>118</v>
      </c>
      <c r="D84" s="10" t="s">
        <v>80</v>
      </c>
      <c r="E84" s="13" t="s">
        <v>72</v>
      </c>
      <c r="F84" s="11" t="s">
        <v>119</v>
      </c>
    </row>
    <row r="85" customFormat="false" ht="26.85" hidden="false" customHeight="false" outlineLevel="0" collapsed="false">
      <c r="A85" s="10" t="s">
        <v>65</v>
      </c>
      <c r="B85" s="10" t="s">
        <v>1</v>
      </c>
      <c r="C85" s="10" t="s">
        <v>120</v>
      </c>
      <c r="D85" s="10" t="s">
        <v>18</v>
      </c>
      <c r="E85" s="13" t="s">
        <v>72</v>
      </c>
      <c r="F85" s="10" t="s">
        <v>121</v>
      </c>
    </row>
    <row r="86" customFormat="false" ht="15" hidden="false" customHeight="false" outlineLevel="0" collapsed="false">
      <c r="A86" s="10" t="s">
        <v>16</v>
      </c>
      <c r="B86" s="10" t="s">
        <v>2</v>
      </c>
      <c r="C86" s="11" t="s">
        <v>122</v>
      </c>
      <c r="D86" s="10" t="s">
        <v>18</v>
      </c>
      <c r="E86" s="13" t="s">
        <v>72</v>
      </c>
      <c r="F86" s="11" t="s">
        <v>123</v>
      </c>
    </row>
    <row r="87" customFormat="false" ht="15" hidden="false" customHeight="false" outlineLevel="0" collapsed="false">
      <c r="A87" s="10" t="s">
        <v>16</v>
      </c>
      <c r="B87" s="10" t="s">
        <v>2</v>
      </c>
      <c r="C87" s="11" t="s">
        <v>124</v>
      </c>
      <c r="D87" s="10" t="s">
        <v>26</v>
      </c>
      <c r="E87" s="13" t="s">
        <v>72</v>
      </c>
      <c r="F87" s="10" t="s">
        <v>125</v>
      </c>
    </row>
    <row r="88" customFormat="false" ht="26.85" hidden="false" customHeight="false" outlineLevel="0" collapsed="false">
      <c r="A88" s="10" t="s">
        <v>36</v>
      </c>
      <c r="B88" s="10" t="s">
        <v>2</v>
      </c>
      <c r="C88" s="11" t="s">
        <v>126</v>
      </c>
      <c r="D88" s="10" t="s">
        <v>80</v>
      </c>
      <c r="E88" s="13" t="s">
        <v>72</v>
      </c>
      <c r="F88" s="11" t="s">
        <v>127</v>
      </c>
    </row>
    <row r="89" customFormat="false" ht="26.85" hidden="false" customHeight="false" outlineLevel="0" collapsed="false">
      <c r="A89" s="10" t="s">
        <v>36</v>
      </c>
      <c r="B89" s="10" t="s">
        <v>2</v>
      </c>
      <c r="C89" s="11" t="s">
        <v>128</v>
      </c>
      <c r="D89" s="10" t="s">
        <v>80</v>
      </c>
      <c r="E89" s="13" t="s">
        <v>72</v>
      </c>
      <c r="F89" s="11" t="s">
        <v>129</v>
      </c>
    </row>
    <row r="90" customFormat="false" ht="26.85" hidden="false" customHeight="false" outlineLevel="0" collapsed="false">
      <c r="A90" s="10" t="s">
        <v>36</v>
      </c>
      <c r="B90" s="10" t="s">
        <v>2</v>
      </c>
      <c r="C90" s="11" t="s">
        <v>130</v>
      </c>
      <c r="D90" s="10" t="s">
        <v>80</v>
      </c>
      <c r="E90" s="13" t="s">
        <v>72</v>
      </c>
      <c r="F90" s="11" t="s">
        <v>131</v>
      </c>
    </row>
    <row r="91" customFormat="false" ht="26.85" hidden="false" customHeight="false" outlineLevel="0" collapsed="false">
      <c r="A91" s="10" t="s">
        <v>36</v>
      </c>
      <c r="B91" s="10" t="s">
        <v>2</v>
      </c>
      <c r="C91" s="11" t="s">
        <v>132</v>
      </c>
      <c r="D91" s="10" t="s">
        <v>80</v>
      </c>
      <c r="E91" s="13" t="s">
        <v>72</v>
      </c>
      <c r="F91" s="11" t="s">
        <v>129</v>
      </c>
    </row>
    <row r="92" customFormat="false" ht="39.55" hidden="false" customHeight="false" outlineLevel="0" collapsed="false">
      <c r="A92" s="10" t="s">
        <v>36</v>
      </c>
      <c r="B92" s="10" t="s">
        <v>2</v>
      </c>
      <c r="C92" s="11" t="s">
        <v>133</v>
      </c>
      <c r="D92" s="10" t="s">
        <v>18</v>
      </c>
      <c r="E92" s="13" t="s">
        <v>72</v>
      </c>
      <c r="F92" s="10" t="s">
        <v>134</v>
      </c>
    </row>
    <row r="93" customFormat="false" ht="26.85" hidden="false" customHeight="false" outlineLevel="0" collapsed="false">
      <c r="A93" s="10" t="s">
        <v>36</v>
      </c>
      <c r="B93" s="10" t="s">
        <v>2</v>
      </c>
      <c r="C93" s="11" t="s">
        <v>135</v>
      </c>
      <c r="D93" s="10" t="s">
        <v>26</v>
      </c>
      <c r="E93" s="13" t="s">
        <v>72</v>
      </c>
      <c r="F93" s="10" t="s">
        <v>136</v>
      </c>
    </row>
  </sheetData>
  <autoFilter ref="A11:F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10"/>
    <col collapsed="false" customWidth="true" hidden="false" outlineLevel="0" max="3" min="3" style="14" width="34"/>
    <col collapsed="false" customWidth="true" hidden="false" outlineLevel="0" max="4" min="4" style="14" width="40"/>
    <col collapsed="false" customWidth="true" hidden="false" outlineLevel="0" max="5" min="5" style="14" width="10"/>
    <col collapsed="false" customWidth="true" hidden="false" outlineLevel="0" max="6" min="6" style="14" width="34"/>
    <col collapsed="false" customWidth="true" hidden="false" outlineLevel="0" max="7" min="7" style="14" width="14"/>
  </cols>
  <sheetData>
    <row r="1" customFormat="false" ht="16.5" hidden="false" customHeight="true" outlineLevel="0" collapsed="false">
      <c r="A1" s="15" t="s">
        <v>137</v>
      </c>
    </row>
    <row r="2" customFormat="false" ht="30" hidden="false" customHeight="true" outlineLevel="0" collapsed="false">
      <c r="A2" s="16" t="s">
        <v>138</v>
      </c>
      <c r="B2" s="16"/>
      <c r="C2" s="16"/>
      <c r="D2" s="16"/>
      <c r="E2" s="16"/>
      <c r="F2" s="16"/>
    </row>
    <row r="3" customFormat="false" ht="15" hidden="false" customHeight="false" outlineLevel="0" collapsed="false">
      <c r="A3" s="17" t="s">
        <v>139</v>
      </c>
    </row>
    <row r="4" customFormat="false" ht="15" hidden="false" customHeight="true" outlineLevel="0" collapsed="false">
      <c r="A4" s="18" t="s">
        <v>10</v>
      </c>
      <c r="B4" s="18" t="s">
        <v>19</v>
      </c>
      <c r="C4" s="18" t="s">
        <v>72</v>
      </c>
      <c r="D4" s="18" t="s">
        <v>3</v>
      </c>
    </row>
    <row r="5" customFormat="false" ht="15" hidden="false" customHeight="true" outlineLevel="0" collapsed="false">
      <c r="A5" s="19" t="s">
        <v>16</v>
      </c>
      <c r="B5" s="5" t="n">
        <f aca="false">COUNTIFS($B$11:$B$66,A5,$E$11:$E$66,"纳入")</f>
        <v>10</v>
      </c>
      <c r="C5" s="5" t="n">
        <f aca="false">COUNTIFS($B$11:$B$66,A5,$E$11:$E$66,"排除")</f>
        <v>11</v>
      </c>
      <c r="D5" s="5" t="n">
        <f aca="false">B5+C5</f>
        <v>21</v>
      </c>
    </row>
    <row r="6" customFormat="false" ht="15" hidden="false" customHeight="true" outlineLevel="0" collapsed="false">
      <c r="A6" s="19" t="s">
        <v>36</v>
      </c>
      <c r="B6" s="5" t="n">
        <f aca="false">COUNTIFS($B$11:$B$66,A6,$E$11:$E$66,"纳入")</f>
        <v>19</v>
      </c>
      <c r="C6" s="5" t="n">
        <f aca="false">COUNTIFS($B$11:$B$66,A6,$E$11:$E$66,"排除")</f>
        <v>14</v>
      </c>
      <c r="D6" s="5" t="n">
        <f aca="false">B6+C6</f>
        <v>33</v>
      </c>
    </row>
    <row r="7" customFormat="false" ht="15" hidden="false" customHeight="true" outlineLevel="0" collapsed="false">
      <c r="A7" s="19" t="s">
        <v>65</v>
      </c>
      <c r="B7" s="5" t="n">
        <f aca="false">COUNTIFS($B$11:$B$66,A7,$E$11:$E$66,"纳入")</f>
        <v>1</v>
      </c>
      <c r="C7" s="5" t="n">
        <f aca="false">COUNTIFS($B$11:$B$66,A7,$E$11:$E$66,"排除")</f>
        <v>1</v>
      </c>
      <c r="D7" s="5" t="n">
        <f aca="false">B7+C7</f>
        <v>2</v>
      </c>
    </row>
    <row r="8" customFormat="false" ht="15" hidden="false" customHeight="true" outlineLevel="0" collapsed="false">
      <c r="A8" s="20" t="s">
        <v>3</v>
      </c>
      <c r="B8" s="7" t="n">
        <f aca="false">SUM(B5:B7)</f>
        <v>30</v>
      </c>
      <c r="C8" s="7" t="n">
        <f aca="false">SUM(C5:C7)</f>
        <v>26</v>
      </c>
      <c r="D8" s="7" t="n">
        <f aca="false">SUM(D5:D7)</f>
        <v>56</v>
      </c>
    </row>
    <row r="10" customFormat="false" ht="15" hidden="false" customHeight="true" outlineLevel="0" collapsed="false">
      <c r="A10" s="18" t="s">
        <v>12</v>
      </c>
      <c r="B10" s="18" t="s">
        <v>10</v>
      </c>
      <c r="C10" s="18" t="s">
        <v>140</v>
      </c>
      <c r="D10" s="18" t="s">
        <v>141</v>
      </c>
      <c r="E10" s="18" t="s">
        <v>14</v>
      </c>
      <c r="F10" s="18" t="s">
        <v>142</v>
      </c>
      <c r="G10" s="21" t="s">
        <v>143</v>
      </c>
    </row>
    <row r="11" customFormat="false" ht="15" hidden="false" customHeight="true" outlineLevel="0" collapsed="false">
      <c r="A11" s="11" t="s">
        <v>74</v>
      </c>
      <c r="B11" s="19" t="s">
        <v>16</v>
      </c>
      <c r="C11" s="19" t="s">
        <v>144</v>
      </c>
      <c r="D11" s="19" t="s">
        <v>145</v>
      </c>
      <c r="E11" s="22" t="s">
        <v>19</v>
      </c>
      <c r="F11" s="11" t="s">
        <v>20</v>
      </c>
      <c r="G11" s="23" t="s">
        <v>72</v>
      </c>
    </row>
    <row r="12" customFormat="false" ht="15" hidden="false" customHeight="true" outlineLevel="0" collapsed="false">
      <c r="A12" s="11" t="s">
        <v>76</v>
      </c>
      <c r="B12" s="19" t="s">
        <v>16</v>
      </c>
      <c r="C12" s="19" t="s">
        <v>146</v>
      </c>
      <c r="D12" s="19" t="s">
        <v>147</v>
      </c>
      <c r="E12" s="22" t="s">
        <v>19</v>
      </c>
      <c r="F12" s="11" t="s">
        <v>20</v>
      </c>
      <c r="G12" s="24" t="s">
        <v>19</v>
      </c>
    </row>
    <row r="13" customFormat="false" ht="15" hidden="false" customHeight="true" outlineLevel="0" collapsed="false">
      <c r="A13" s="11" t="s">
        <v>78</v>
      </c>
      <c r="B13" s="19" t="s">
        <v>16</v>
      </c>
      <c r="C13" s="19" t="s">
        <v>148</v>
      </c>
      <c r="D13" s="19" t="s">
        <v>147</v>
      </c>
      <c r="E13" s="22" t="s">
        <v>19</v>
      </c>
      <c r="F13" s="11" t="s">
        <v>20</v>
      </c>
      <c r="G13" s="24" t="s">
        <v>19</v>
      </c>
    </row>
    <row r="14" customFormat="false" ht="15" hidden="false" customHeight="true" outlineLevel="0" collapsed="false">
      <c r="A14" s="11" t="s">
        <v>82</v>
      </c>
      <c r="B14" s="19" t="s">
        <v>16</v>
      </c>
      <c r="C14" s="19" t="s">
        <v>149</v>
      </c>
      <c r="D14" s="19" t="s">
        <v>150</v>
      </c>
      <c r="E14" s="22" t="s">
        <v>19</v>
      </c>
      <c r="F14" s="11" t="s">
        <v>20</v>
      </c>
      <c r="G14" s="24" t="s">
        <v>19</v>
      </c>
    </row>
    <row r="15" customFormat="false" ht="15" hidden="false" customHeight="true" outlineLevel="0" collapsed="false">
      <c r="A15" s="11" t="s">
        <v>28</v>
      </c>
      <c r="B15" s="19" t="s">
        <v>16</v>
      </c>
      <c r="C15" s="19" t="s">
        <v>151</v>
      </c>
      <c r="D15" s="19" t="s">
        <v>152</v>
      </c>
      <c r="E15" s="22" t="s">
        <v>19</v>
      </c>
      <c r="F15" s="11" t="s">
        <v>20</v>
      </c>
      <c r="G15" s="24" t="s">
        <v>19</v>
      </c>
    </row>
    <row r="16" customFormat="false" ht="15" hidden="false" customHeight="true" outlineLevel="0" collapsed="false">
      <c r="A16" s="11" t="s">
        <v>87</v>
      </c>
      <c r="B16" s="19" t="s">
        <v>16</v>
      </c>
      <c r="C16" s="19" t="s">
        <v>153</v>
      </c>
      <c r="D16" s="19" t="s">
        <v>154</v>
      </c>
      <c r="E16" s="22" t="s">
        <v>19</v>
      </c>
      <c r="F16" s="11" t="s">
        <v>20</v>
      </c>
      <c r="G16" s="24" t="s">
        <v>19</v>
      </c>
    </row>
    <row r="17" customFormat="false" ht="15" hidden="false" customHeight="true" outlineLevel="0" collapsed="false">
      <c r="A17" s="11" t="s">
        <v>29</v>
      </c>
      <c r="B17" s="19" t="s">
        <v>16</v>
      </c>
      <c r="C17" s="19" t="s">
        <v>155</v>
      </c>
      <c r="D17" s="19" t="s">
        <v>156</v>
      </c>
      <c r="E17" s="22" t="s">
        <v>19</v>
      </c>
      <c r="F17" s="11" t="s">
        <v>20</v>
      </c>
      <c r="G17" s="24" t="s">
        <v>19</v>
      </c>
    </row>
    <row r="18" customFormat="false" ht="15" hidden="false" customHeight="true" outlineLevel="0" collapsed="false">
      <c r="A18" s="11" t="s">
        <v>30</v>
      </c>
      <c r="B18" s="19" t="s">
        <v>16</v>
      </c>
      <c r="C18" s="19" t="s">
        <v>157</v>
      </c>
      <c r="D18" s="19" t="s">
        <v>158</v>
      </c>
      <c r="E18" s="22" t="s">
        <v>19</v>
      </c>
      <c r="F18" s="11" t="s">
        <v>20</v>
      </c>
      <c r="G18" s="24" t="s">
        <v>19</v>
      </c>
    </row>
    <row r="19" customFormat="false" ht="15" hidden="false" customHeight="true" outlineLevel="0" collapsed="false">
      <c r="A19" s="11" t="s">
        <v>31</v>
      </c>
      <c r="B19" s="19" t="s">
        <v>16</v>
      </c>
      <c r="C19" s="19" t="s">
        <v>149</v>
      </c>
      <c r="D19" s="19" t="s">
        <v>159</v>
      </c>
      <c r="E19" s="22" t="s">
        <v>19</v>
      </c>
      <c r="F19" s="11" t="s">
        <v>20</v>
      </c>
      <c r="G19" s="24" t="s">
        <v>19</v>
      </c>
    </row>
    <row r="20" customFormat="false" ht="15" hidden="false" customHeight="true" outlineLevel="0" collapsed="false">
      <c r="A20" s="11" t="s">
        <v>33</v>
      </c>
      <c r="B20" s="19" t="s">
        <v>16</v>
      </c>
      <c r="C20" s="19" t="s">
        <v>160</v>
      </c>
      <c r="D20" s="19" t="s">
        <v>156</v>
      </c>
      <c r="E20" s="22" t="s">
        <v>19</v>
      </c>
      <c r="F20" s="11" t="s">
        <v>20</v>
      </c>
      <c r="G20" s="24" t="s">
        <v>19</v>
      </c>
    </row>
    <row r="21" customFormat="false" ht="15" hidden="false" customHeight="true" outlineLevel="0" collapsed="false">
      <c r="A21" s="11" t="s">
        <v>161</v>
      </c>
      <c r="B21" s="19" t="s">
        <v>36</v>
      </c>
      <c r="C21" s="19" t="s">
        <v>162</v>
      </c>
      <c r="D21" s="19" t="s">
        <v>163</v>
      </c>
      <c r="E21" s="22" t="s">
        <v>19</v>
      </c>
      <c r="F21" s="11" t="s">
        <v>20</v>
      </c>
      <c r="G21" s="24" t="s">
        <v>19</v>
      </c>
    </row>
    <row r="22" customFormat="false" ht="26.25" hidden="false" customHeight="true" outlineLevel="0" collapsed="false">
      <c r="A22" s="11" t="s">
        <v>164</v>
      </c>
      <c r="B22" s="19" t="s">
        <v>36</v>
      </c>
      <c r="C22" s="19" t="s">
        <v>165</v>
      </c>
      <c r="D22" s="19" t="s">
        <v>166</v>
      </c>
      <c r="E22" s="22" t="s">
        <v>19</v>
      </c>
      <c r="F22" s="19" t="s">
        <v>167</v>
      </c>
      <c r="G22" s="24" t="s">
        <v>19</v>
      </c>
    </row>
    <row r="23" customFormat="false" ht="15" hidden="false" customHeight="true" outlineLevel="0" collapsed="false">
      <c r="A23" s="11" t="s">
        <v>168</v>
      </c>
      <c r="B23" s="19" t="s">
        <v>36</v>
      </c>
      <c r="C23" s="19" t="s">
        <v>169</v>
      </c>
      <c r="D23" s="19" t="s">
        <v>170</v>
      </c>
      <c r="E23" s="22" t="s">
        <v>19</v>
      </c>
      <c r="F23" s="11" t="s">
        <v>20</v>
      </c>
      <c r="G23" s="24" t="s">
        <v>19</v>
      </c>
    </row>
    <row r="24" customFormat="false" ht="15" hidden="false" customHeight="true" outlineLevel="0" collapsed="false">
      <c r="A24" s="11" t="s">
        <v>171</v>
      </c>
      <c r="B24" s="19" t="s">
        <v>36</v>
      </c>
      <c r="C24" s="19" t="s">
        <v>172</v>
      </c>
      <c r="D24" s="19" t="s">
        <v>173</v>
      </c>
      <c r="E24" s="22" t="s">
        <v>19</v>
      </c>
      <c r="F24" s="11" t="s">
        <v>20</v>
      </c>
      <c r="G24" s="24" t="s">
        <v>19</v>
      </c>
    </row>
    <row r="25" customFormat="false" ht="15" hidden="false" customHeight="true" outlineLevel="0" collapsed="false">
      <c r="A25" s="11" t="s">
        <v>174</v>
      </c>
      <c r="B25" s="19" t="s">
        <v>36</v>
      </c>
      <c r="C25" s="19" t="s">
        <v>175</v>
      </c>
      <c r="D25" s="19" t="s">
        <v>176</v>
      </c>
      <c r="E25" s="22" t="s">
        <v>19</v>
      </c>
      <c r="F25" s="11" t="s">
        <v>20</v>
      </c>
      <c r="G25" s="24" t="s">
        <v>19</v>
      </c>
    </row>
    <row r="26" customFormat="false" ht="15" hidden="false" customHeight="true" outlineLevel="0" collapsed="false">
      <c r="A26" s="11" t="s">
        <v>177</v>
      </c>
      <c r="B26" s="19" t="s">
        <v>36</v>
      </c>
      <c r="C26" s="19" t="s">
        <v>178</v>
      </c>
      <c r="D26" s="19" t="s">
        <v>159</v>
      </c>
      <c r="E26" s="22" t="s">
        <v>19</v>
      </c>
      <c r="F26" s="11" t="s">
        <v>20</v>
      </c>
      <c r="G26" s="24" t="s">
        <v>19</v>
      </c>
    </row>
    <row r="27" customFormat="false" ht="15" hidden="false" customHeight="true" outlineLevel="0" collapsed="false">
      <c r="A27" s="11" t="s">
        <v>179</v>
      </c>
      <c r="B27" s="19" t="s">
        <v>36</v>
      </c>
      <c r="C27" s="19" t="s">
        <v>149</v>
      </c>
      <c r="D27" s="19" t="s">
        <v>180</v>
      </c>
      <c r="E27" s="22" t="s">
        <v>19</v>
      </c>
      <c r="F27" s="11" t="s">
        <v>20</v>
      </c>
      <c r="G27" s="24" t="s">
        <v>19</v>
      </c>
    </row>
    <row r="28" customFormat="false" ht="15" hidden="false" customHeight="true" outlineLevel="0" collapsed="false">
      <c r="A28" s="11" t="s">
        <v>181</v>
      </c>
      <c r="B28" s="19" t="s">
        <v>36</v>
      </c>
      <c r="C28" s="19" t="s">
        <v>182</v>
      </c>
      <c r="D28" s="19" t="s">
        <v>183</v>
      </c>
      <c r="E28" s="22" t="s">
        <v>19</v>
      </c>
      <c r="F28" s="11" t="s">
        <v>20</v>
      </c>
      <c r="G28" s="24" t="s">
        <v>19</v>
      </c>
    </row>
    <row r="29" customFormat="false" ht="15" hidden="false" customHeight="true" outlineLevel="0" collapsed="false">
      <c r="A29" s="11" t="s">
        <v>184</v>
      </c>
      <c r="B29" s="19" t="s">
        <v>36</v>
      </c>
      <c r="C29" s="19" t="s">
        <v>185</v>
      </c>
      <c r="D29" s="19" t="s">
        <v>186</v>
      </c>
      <c r="E29" s="22" t="s">
        <v>19</v>
      </c>
      <c r="F29" s="11" t="s">
        <v>20</v>
      </c>
      <c r="G29" s="24" t="s">
        <v>19</v>
      </c>
    </row>
    <row r="30" customFormat="false" ht="15" hidden="false" customHeight="true" outlineLevel="0" collapsed="false">
      <c r="A30" s="11" t="s">
        <v>187</v>
      </c>
      <c r="B30" s="19" t="s">
        <v>36</v>
      </c>
      <c r="C30" s="19" t="s">
        <v>188</v>
      </c>
      <c r="D30" s="19" t="s">
        <v>189</v>
      </c>
      <c r="E30" s="22" t="s">
        <v>19</v>
      </c>
      <c r="F30" s="11" t="s">
        <v>20</v>
      </c>
      <c r="G30" s="24" t="s">
        <v>19</v>
      </c>
    </row>
    <row r="31" customFormat="false" ht="15" hidden="false" customHeight="true" outlineLevel="0" collapsed="false">
      <c r="A31" s="11" t="s">
        <v>190</v>
      </c>
      <c r="B31" s="19" t="s">
        <v>36</v>
      </c>
      <c r="C31" s="19" t="s">
        <v>191</v>
      </c>
      <c r="D31" s="19" t="s">
        <v>192</v>
      </c>
      <c r="E31" s="22" t="s">
        <v>19</v>
      </c>
      <c r="F31" s="11" t="s">
        <v>20</v>
      </c>
      <c r="G31" s="24" t="s">
        <v>19</v>
      </c>
    </row>
    <row r="32" customFormat="false" ht="15" hidden="false" customHeight="true" outlineLevel="0" collapsed="false">
      <c r="A32" s="11" t="s">
        <v>193</v>
      </c>
      <c r="B32" s="19" t="s">
        <v>36</v>
      </c>
      <c r="C32" s="19" t="s">
        <v>194</v>
      </c>
      <c r="D32" s="19" t="s">
        <v>195</v>
      </c>
      <c r="E32" s="22" t="s">
        <v>19</v>
      </c>
      <c r="F32" s="11" t="s">
        <v>20</v>
      </c>
      <c r="G32" s="24" t="s">
        <v>19</v>
      </c>
    </row>
    <row r="33" customFormat="false" ht="15" hidden="false" customHeight="true" outlineLevel="0" collapsed="false">
      <c r="A33" s="11" t="s">
        <v>196</v>
      </c>
      <c r="B33" s="19" t="s">
        <v>36</v>
      </c>
      <c r="C33" s="19" t="s">
        <v>149</v>
      </c>
      <c r="D33" s="19" t="s">
        <v>197</v>
      </c>
      <c r="E33" s="22" t="s">
        <v>19</v>
      </c>
      <c r="F33" s="11" t="s">
        <v>20</v>
      </c>
      <c r="G33" s="24" t="s">
        <v>19</v>
      </c>
    </row>
    <row r="34" customFormat="false" ht="15" hidden="false" customHeight="true" outlineLevel="0" collapsed="false">
      <c r="A34" s="11" t="s">
        <v>198</v>
      </c>
      <c r="B34" s="19" t="s">
        <v>36</v>
      </c>
      <c r="C34" s="19" t="s">
        <v>149</v>
      </c>
      <c r="D34" s="19" t="s">
        <v>199</v>
      </c>
      <c r="E34" s="22" t="s">
        <v>19</v>
      </c>
      <c r="F34" s="11" t="s">
        <v>20</v>
      </c>
      <c r="G34" s="24" t="s">
        <v>19</v>
      </c>
    </row>
    <row r="35" customFormat="false" ht="15" hidden="false" customHeight="true" outlineLevel="0" collapsed="false">
      <c r="A35" s="11" t="s">
        <v>200</v>
      </c>
      <c r="B35" s="19" t="s">
        <v>36</v>
      </c>
      <c r="C35" s="19" t="s">
        <v>201</v>
      </c>
      <c r="D35" s="19" t="s">
        <v>202</v>
      </c>
      <c r="E35" s="22" t="s">
        <v>19</v>
      </c>
      <c r="F35" s="11" t="s">
        <v>20</v>
      </c>
      <c r="G35" s="24" t="s">
        <v>19</v>
      </c>
    </row>
    <row r="36" customFormat="false" ht="15" hidden="false" customHeight="true" outlineLevel="0" collapsed="false">
      <c r="A36" s="11" t="s">
        <v>203</v>
      </c>
      <c r="B36" s="19" t="s">
        <v>36</v>
      </c>
      <c r="C36" s="19" t="s">
        <v>204</v>
      </c>
      <c r="D36" s="19" t="s">
        <v>205</v>
      </c>
      <c r="E36" s="22" t="s">
        <v>19</v>
      </c>
      <c r="F36" s="11" t="s">
        <v>20</v>
      </c>
      <c r="G36" s="24" t="s">
        <v>19</v>
      </c>
    </row>
    <row r="37" customFormat="false" ht="15" hidden="false" customHeight="true" outlineLevel="0" collapsed="false">
      <c r="A37" s="11" t="s">
        <v>206</v>
      </c>
      <c r="B37" s="19" t="s">
        <v>36</v>
      </c>
      <c r="C37" s="19" t="s">
        <v>207</v>
      </c>
      <c r="D37" s="19" t="s">
        <v>208</v>
      </c>
      <c r="E37" s="22" t="s">
        <v>19</v>
      </c>
      <c r="F37" s="11" t="s">
        <v>20</v>
      </c>
      <c r="G37" s="24" t="s">
        <v>19</v>
      </c>
    </row>
    <row r="38" customFormat="false" ht="15" hidden="false" customHeight="true" outlineLevel="0" collapsed="false">
      <c r="A38" s="11" t="s">
        <v>209</v>
      </c>
      <c r="B38" s="19" t="s">
        <v>36</v>
      </c>
      <c r="C38" s="19" t="s">
        <v>149</v>
      </c>
      <c r="D38" s="19" t="s">
        <v>210</v>
      </c>
      <c r="E38" s="22" t="s">
        <v>19</v>
      </c>
      <c r="F38" s="11" t="s">
        <v>20</v>
      </c>
      <c r="G38" s="24" t="s">
        <v>19</v>
      </c>
    </row>
    <row r="39" customFormat="false" ht="15" hidden="false" customHeight="true" outlineLevel="0" collapsed="false">
      <c r="A39" s="11" t="s">
        <v>211</v>
      </c>
      <c r="B39" s="19" t="s">
        <v>36</v>
      </c>
      <c r="C39" s="19" t="s">
        <v>212</v>
      </c>
      <c r="D39" s="19" t="s">
        <v>213</v>
      </c>
      <c r="E39" s="22" t="s">
        <v>19</v>
      </c>
      <c r="F39" s="11" t="s">
        <v>20</v>
      </c>
      <c r="G39" s="24" t="s">
        <v>19</v>
      </c>
    </row>
    <row r="40" customFormat="false" ht="15" hidden="false" customHeight="true" outlineLevel="0" collapsed="false">
      <c r="A40" s="19" t="s">
        <v>214</v>
      </c>
      <c r="B40" s="19" t="s">
        <v>65</v>
      </c>
      <c r="C40" s="19" t="s">
        <v>215</v>
      </c>
      <c r="D40" s="19" t="s">
        <v>216</v>
      </c>
      <c r="E40" s="22" t="s">
        <v>19</v>
      </c>
      <c r="F40" s="11" t="s">
        <v>20</v>
      </c>
      <c r="G40" s="24" t="s">
        <v>19</v>
      </c>
    </row>
    <row r="41" customFormat="false" ht="15" hidden="false" customHeight="true" outlineLevel="0" collapsed="false">
      <c r="A41" s="11" t="s">
        <v>17</v>
      </c>
      <c r="B41" s="19" t="s">
        <v>16</v>
      </c>
      <c r="C41" s="19" t="s">
        <v>217</v>
      </c>
      <c r="D41" s="19" t="s">
        <v>218</v>
      </c>
      <c r="E41" s="25" t="s">
        <v>72</v>
      </c>
      <c r="F41" s="19" t="s">
        <v>219</v>
      </c>
      <c r="G41" s="24" t="s">
        <v>19</v>
      </c>
    </row>
    <row r="42" customFormat="false" ht="15" hidden="false" customHeight="true" outlineLevel="0" collapsed="false">
      <c r="A42" s="11" t="s">
        <v>21</v>
      </c>
      <c r="B42" s="19" t="s">
        <v>16</v>
      </c>
      <c r="C42" s="19" t="s">
        <v>220</v>
      </c>
      <c r="D42" s="19" t="s">
        <v>221</v>
      </c>
      <c r="E42" s="25" t="s">
        <v>72</v>
      </c>
      <c r="F42" s="19" t="s">
        <v>219</v>
      </c>
      <c r="G42" s="24" t="s">
        <v>19</v>
      </c>
    </row>
    <row r="43" customFormat="false" ht="26.25" hidden="false" customHeight="true" outlineLevel="0" collapsed="false">
      <c r="A43" s="11" t="s">
        <v>22</v>
      </c>
      <c r="B43" s="19" t="s">
        <v>16</v>
      </c>
      <c r="C43" s="19" t="s">
        <v>222</v>
      </c>
      <c r="D43" s="19" t="s">
        <v>223</v>
      </c>
      <c r="E43" s="25" t="s">
        <v>72</v>
      </c>
      <c r="F43" s="19" t="s">
        <v>219</v>
      </c>
      <c r="G43" s="24" t="s">
        <v>19</v>
      </c>
    </row>
    <row r="44" customFormat="false" ht="15" hidden="false" customHeight="true" outlineLevel="0" collapsed="false">
      <c r="A44" s="11" t="s">
        <v>23</v>
      </c>
      <c r="B44" s="19" t="s">
        <v>16</v>
      </c>
      <c r="C44" s="19" t="s">
        <v>224</v>
      </c>
      <c r="D44" s="19" t="s">
        <v>225</v>
      </c>
      <c r="E44" s="25" t="s">
        <v>72</v>
      </c>
      <c r="F44" s="19" t="s">
        <v>219</v>
      </c>
      <c r="G44" s="24" t="s">
        <v>19</v>
      </c>
    </row>
    <row r="45" customFormat="false" ht="15" hidden="false" customHeight="true" outlineLevel="0" collapsed="false">
      <c r="A45" s="11" t="s">
        <v>24</v>
      </c>
      <c r="B45" s="19" t="s">
        <v>16</v>
      </c>
      <c r="C45" s="19" t="s">
        <v>149</v>
      </c>
      <c r="D45" s="19" t="s">
        <v>226</v>
      </c>
      <c r="E45" s="25" t="s">
        <v>72</v>
      </c>
      <c r="F45" s="19" t="s">
        <v>219</v>
      </c>
      <c r="G45" s="24" t="s">
        <v>19</v>
      </c>
    </row>
    <row r="46" customFormat="false" ht="15" hidden="false" customHeight="true" outlineLevel="0" collapsed="false">
      <c r="A46" s="11" t="s">
        <v>71</v>
      </c>
      <c r="B46" s="19" t="s">
        <v>16</v>
      </c>
      <c r="C46" s="19" t="s">
        <v>149</v>
      </c>
      <c r="D46" s="19" t="s">
        <v>227</v>
      </c>
      <c r="E46" s="25" t="s">
        <v>72</v>
      </c>
      <c r="F46" s="19" t="s">
        <v>219</v>
      </c>
      <c r="G46" s="24" t="s">
        <v>19</v>
      </c>
    </row>
    <row r="47" customFormat="false" ht="15" hidden="false" customHeight="true" outlineLevel="0" collapsed="false">
      <c r="A47" s="11" t="s">
        <v>25</v>
      </c>
      <c r="B47" s="19" t="s">
        <v>16</v>
      </c>
      <c r="C47" s="19" t="s">
        <v>222</v>
      </c>
      <c r="D47" s="19" t="s">
        <v>228</v>
      </c>
      <c r="E47" s="25" t="s">
        <v>72</v>
      </c>
      <c r="F47" s="19" t="s">
        <v>219</v>
      </c>
      <c r="G47" s="24" t="s">
        <v>19</v>
      </c>
    </row>
    <row r="48" customFormat="false" ht="15" hidden="false" customHeight="true" outlineLevel="0" collapsed="false">
      <c r="A48" s="11" t="s">
        <v>27</v>
      </c>
      <c r="B48" s="19" t="s">
        <v>16</v>
      </c>
      <c r="C48" s="19" t="s">
        <v>149</v>
      </c>
      <c r="D48" s="19" t="s">
        <v>229</v>
      </c>
      <c r="E48" s="25" t="s">
        <v>72</v>
      </c>
      <c r="F48" s="19" t="s">
        <v>219</v>
      </c>
      <c r="G48" s="24" t="s">
        <v>19</v>
      </c>
    </row>
    <row r="49" customFormat="false" ht="15" hidden="false" customHeight="true" outlineLevel="0" collapsed="false">
      <c r="A49" s="11" t="s">
        <v>32</v>
      </c>
      <c r="B49" s="19" t="s">
        <v>16</v>
      </c>
      <c r="C49" s="19" t="s">
        <v>230</v>
      </c>
      <c r="D49" s="19" t="s">
        <v>231</v>
      </c>
      <c r="E49" s="25" t="s">
        <v>72</v>
      </c>
      <c r="F49" s="19" t="s">
        <v>219</v>
      </c>
      <c r="G49" s="24" t="s">
        <v>19</v>
      </c>
    </row>
    <row r="50" customFormat="false" ht="15" hidden="false" customHeight="true" outlineLevel="0" collapsed="false">
      <c r="A50" s="11" t="s">
        <v>34</v>
      </c>
      <c r="B50" s="19" t="s">
        <v>16</v>
      </c>
      <c r="C50" s="19" t="s">
        <v>149</v>
      </c>
      <c r="D50" s="19" t="s">
        <v>227</v>
      </c>
      <c r="E50" s="25" t="s">
        <v>72</v>
      </c>
      <c r="F50" s="19" t="s">
        <v>219</v>
      </c>
      <c r="G50" s="24" t="s">
        <v>19</v>
      </c>
    </row>
    <row r="51" customFormat="false" ht="15" hidden="false" customHeight="true" outlineLevel="0" collapsed="false">
      <c r="A51" s="11" t="s">
        <v>35</v>
      </c>
      <c r="B51" s="19" t="s">
        <v>16</v>
      </c>
      <c r="C51" s="19" t="s">
        <v>232</v>
      </c>
      <c r="D51" s="19" t="s">
        <v>233</v>
      </c>
      <c r="E51" s="25" t="s">
        <v>72</v>
      </c>
      <c r="F51" s="19" t="s">
        <v>219</v>
      </c>
      <c r="G51" s="24" t="s">
        <v>19</v>
      </c>
    </row>
    <row r="52" customFormat="false" ht="15" hidden="false" customHeight="true" outlineLevel="0" collapsed="false">
      <c r="A52" s="11" t="s">
        <v>234</v>
      </c>
      <c r="B52" s="19" t="s">
        <v>36</v>
      </c>
      <c r="C52" s="19" t="s">
        <v>235</v>
      </c>
      <c r="D52" s="19" t="s">
        <v>236</v>
      </c>
      <c r="E52" s="25" t="s">
        <v>72</v>
      </c>
      <c r="F52" s="19" t="s">
        <v>237</v>
      </c>
      <c r="G52" s="24" t="s">
        <v>19</v>
      </c>
    </row>
    <row r="53" customFormat="false" ht="15" hidden="false" customHeight="true" outlineLevel="0" collapsed="false">
      <c r="A53" s="11" t="s">
        <v>238</v>
      </c>
      <c r="B53" s="19" t="s">
        <v>36</v>
      </c>
      <c r="C53" s="19" t="s">
        <v>239</v>
      </c>
      <c r="D53" s="19" t="s">
        <v>240</v>
      </c>
      <c r="E53" s="25" t="s">
        <v>72</v>
      </c>
      <c r="F53" s="19" t="s">
        <v>241</v>
      </c>
      <c r="G53" s="23" t="s">
        <v>72</v>
      </c>
    </row>
    <row r="54" customFormat="false" ht="15" hidden="false" customHeight="true" outlineLevel="0" collapsed="false">
      <c r="A54" s="11" t="s">
        <v>242</v>
      </c>
      <c r="B54" s="19" t="s">
        <v>36</v>
      </c>
      <c r="C54" s="19" t="s">
        <v>243</v>
      </c>
      <c r="D54" s="19" t="s">
        <v>244</v>
      </c>
      <c r="E54" s="25" t="s">
        <v>72</v>
      </c>
      <c r="F54" s="19" t="s">
        <v>219</v>
      </c>
      <c r="G54" s="24" t="s">
        <v>19</v>
      </c>
    </row>
    <row r="55" customFormat="false" ht="15" hidden="false" customHeight="true" outlineLevel="0" collapsed="false">
      <c r="A55" s="11" t="s">
        <v>245</v>
      </c>
      <c r="B55" s="19" t="s">
        <v>36</v>
      </c>
      <c r="C55" s="19" t="s">
        <v>149</v>
      </c>
      <c r="D55" s="19" t="s">
        <v>246</v>
      </c>
      <c r="E55" s="25" t="s">
        <v>72</v>
      </c>
      <c r="F55" s="19" t="s">
        <v>219</v>
      </c>
      <c r="G55" s="24" t="s">
        <v>19</v>
      </c>
    </row>
    <row r="56" customFormat="false" ht="15" hidden="false" customHeight="true" outlineLevel="0" collapsed="false">
      <c r="A56" s="11" t="s">
        <v>247</v>
      </c>
      <c r="B56" s="19" t="s">
        <v>36</v>
      </c>
      <c r="C56" s="19" t="s">
        <v>248</v>
      </c>
      <c r="D56" s="19" t="s">
        <v>249</v>
      </c>
      <c r="E56" s="25" t="s">
        <v>72</v>
      </c>
      <c r="F56" s="19" t="s">
        <v>219</v>
      </c>
      <c r="G56" s="24" t="s">
        <v>19</v>
      </c>
    </row>
    <row r="57" customFormat="false" ht="15" hidden="false" customHeight="true" outlineLevel="0" collapsed="false">
      <c r="A57" s="11" t="s">
        <v>250</v>
      </c>
      <c r="B57" s="19" t="s">
        <v>36</v>
      </c>
      <c r="C57" s="19" t="s">
        <v>251</v>
      </c>
      <c r="D57" s="19" t="s">
        <v>240</v>
      </c>
      <c r="E57" s="25" t="s">
        <v>72</v>
      </c>
      <c r="F57" s="19" t="s">
        <v>252</v>
      </c>
      <c r="G57" s="23" t="s">
        <v>72</v>
      </c>
    </row>
    <row r="58" customFormat="false" ht="15" hidden="false" customHeight="true" outlineLevel="0" collapsed="false">
      <c r="A58" s="11" t="s">
        <v>253</v>
      </c>
      <c r="B58" s="19" t="s">
        <v>36</v>
      </c>
      <c r="C58" s="19" t="s">
        <v>243</v>
      </c>
      <c r="D58" s="19" t="s">
        <v>254</v>
      </c>
      <c r="E58" s="25" t="s">
        <v>72</v>
      </c>
      <c r="F58" s="19" t="s">
        <v>219</v>
      </c>
      <c r="G58" s="24" t="s">
        <v>19</v>
      </c>
    </row>
    <row r="59" customFormat="false" ht="26.25" hidden="false" customHeight="true" outlineLevel="0" collapsed="false">
      <c r="A59" s="11" t="s">
        <v>255</v>
      </c>
      <c r="B59" s="19" t="s">
        <v>36</v>
      </c>
      <c r="C59" s="19" t="s">
        <v>256</v>
      </c>
      <c r="D59" s="19" t="s">
        <v>257</v>
      </c>
      <c r="E59" s="25" t="s">
        <v>72</v>
      </c>
      <c r="F59" s="19" t="s">
        <v>219</v>
      </c>
      <c r="G59" s="24" t="s">
        <v>19</v>
      </c>
    </row>
    <row r="60" customFormat="false" ht="15" hidden="false" customHeight="true" outlineLevel="0" collapsed="false">
      <c r="A60" s="11" t="s">
        <v>258</v>
      </c>
      <c r="B60" s="19" t="s">
        <v>36</v>
      </c>
      <c r="C60" s="19" t="s">
        <v>259</v>
      </c>
      <c r="D60" s="19" t="s">
        <v>260</v>
      </c>
      <c r="E60" s="25" t="s">
        <v>72</v>
      </c>
      <c r="F60" s="19" t="s">
        <v>219</v>
      </c>
      <c r="G60" s="24" t="s">
        <v>19</v>
      </c>
    </row>
    <row r="61" customFormat="false" ht="15" hidden="false" customHeight="true" outlineLevel="0" collapsed="false">
      <c r="A61" s="11" t="s">
        <v>261</v>
      </c>
      <c r="B61" s="19" t="s">
        <v>36</v>
      </c>
      <c r="C61" s="19" t="s">
        <v>262</v>
      </c>
      <c r="D61" s="19" t="s">
        <v>263</v>
      </c>
      <c r="E61" s="25" t="s">
        <v>72</v>
      </c>
      <c r="F61" s="19" t="s">
        <v>264</v>
      </c>
      <c r="G61" s="23" t="s">
        <v>72</v>
      </c>
    </row>
    <row r="62" customFormat="false" ht="15" hidden="false" customHeight="true" outlineLevel="0" collapsed="false">
      <c r="A62" s="11" t="s">
        <v>265</v>
      </c>
      <c r="B62" s="19" t="s">
        <v>36</v>
      </c>
      <c r="C62" s="19" t="s">
        <v>266</v>
      </c>
      <c r="D62" s="19" t="s">
        <v>267</v>
      </c>
      <c r="E62" s="25" t="s">
        <v>72</v>
      </c>
      <c r="F62" s="19" t="s">
        <v>219</v>
      </c>
      <c r="G62" s="24" t="s">
        <v>19</v>
      </c>
    </row>
    <row r="63" customFormat="false" ht="15" hidden="false" customHeight="true" outlineLevel="0" collapsed="false">
      <c r="A63" s="11" t="s">
        <v>268</v>
      </c>
      <c r="B63" s="19" t="s">
        <v>36</v>
      </c>
      <c r="C63" s="19" t="s">
        <v>259</v>
      </c>
      <c r="D63" s="19" t="s">
        <v>269</v>
      </c>
      <c r="E63" s="25" t="s">
        <v>72</v>
      </c>
      <c r="F63" s="19" t="s">
        <v>219</v>
      </c>
      <c r="G63" s="24" t="s">
        <v>19</v>
      </c>
    </row>
    <row r="64" customFormat="false" ht="15" hidden="false" customHeight="true" outlineLevel="0" collapsed="false">
      <c r="A64" s="11" t="s">
        <v>270</v>
      </c>
      <c r="B64" s="19" t="s">
        <v>36</v>
      </c>
      <c r="C64" s="19" t="s">
        <v>149</v>
      </c>
      <c r="D64" s="19" t="s">
        <v>271</v>
      </c>
      <c r="E64" s="25" t="s">
        <v>72</v>
      </c>
      <c r="F64" s="19" t="s">
        <v>219</v>
      </c>
      <c r="G64" s="24" t="s">
        <v>19</v>
      </c>
    </row>
    <row r="65" customFormat="false" ht="15" hidden="false" customHeight="true" outlineLevel="0" collapsed="false">
      <c r="A65" s="11" t="s">
        <v>272</v>
      </c>
      <c r="B65" s="19" t="s">
        <v>36</v>
      </c>
      <c r="C65" s="19" t="s">
        <v>259</v>
      </c>
      <c r="D65" s="19" t="s">
        <v>260</v>
      </c>
      <c r="E65" s="25" t="s">
        <v>72</v>
      </c>
      <c r="F65" s="19" t="s">
        <v>219</v>
      </c>
      <c r="G65" s="24" t="s">
        <v>19</v>
      </c>
    </row>
    <row r="66" customFormat="false" ht="15" hidden="false" customHeight="true" outlineLevel="0" collapsed="false">
      <c r="A66" s="19" t="s">
        <v>273</v>
      </c>
      <c r="B66" s="19" t="s">
        <v>65</v>
      </c>
      <c r="C66" s="19" t="s">
        <v>274</v>
      </c>
      <c r="D66" s="19" t="s">
        <v>240</v>
      </c>
      <c r="E66" s="25" t="s">
        <v>72</v>
      </c>
      <c r="F66" s="19" t="s">
        <v>219</v>
      </c>
      <c r="G66" s="23" t="s">
        <v>72</v>
      </c>
    </row>
    <row r="69" customFormat="false" ht="15" hidden="false" customHeight="true" outlineLevel="0" collapsed="false">
      <c r="A69" s="26" t="s">
        <v>275</v>
      </c>
      <c r="G69" s="24" t="s">
        <v>19</v>
      </c>
    </row>
    <row r="70" customFormat="false" ht="15" hidden="false" customHeight="true" outlineLevel="0" collapsed="false">
      <c r="A70" s="18" t="s">
        <v>12</v>
      </c>
      <c r="B70" s="18" t="s">
        <v>10</v>
      </c>
      <c r="C70" s="18" t="s">
        <v>140</v>
      </c>
      <c r="D70" s="18" t="s">
        <v>141</v>
      </c>
      <c r="E70" s="18" t="s">
        <v>14</v>
      </c>
      <c r="F70" s="18" t="s">
        <v>276</v>
      </c>
      <c r="G70" s="24" t="s">
        <v>19</v>
      </c>
    </row>
    <row r="71" customFormat="false" ht="39" hidden="false" customHeight="true" outlineLevel="0" collapsed="false">
      <c r="A71" s="11" t="s">
        <v>67</v>
      </c>
      <c r="B71" s="19" t="s">
        <v>16</v>
      </c>
      <c r="C71" s="19" t="s">
        <v>277</v>
      </c>
      <c r="D71" s="19" t="s">
        <v>278</v>
      </c>
      <c r="E71" s="22" t="s">
        <v>19</v>
      </c>
      <c r="F71" s="19" t="s">
        <v>279</v>
      </c>
      <c r="G71" s="24" t="s">
        <v>19</v>
      </c>
    </row>
    <row r="72" customFormat="false" ht="26.25" hidden="false" customHeight="true" outlineLevel="0" collapsed="false">
      <c r="A72" s="11" t="s">
        <v>280</v>
      </c>
      <c r="B72" s="19" t="s">
        <v>36</v>
      </c>
      <c r="C72" s="19" t="s">
        <v>281</v>
      </c>
      <c r="D72" s="19" t="s">
        <v>282</v>
      </c>
      <c r="E72" s="22" t="s">
        <v>19</v>
      </c>
      <c r="F72" s="19" t="s">
        <v>283</v>
      </c>
      <c r="G72" s="24" t="s">
        <v>19</v>
      </c>
    </row>
    <row r="73" customFormat="false" ht="26.25" hidden="false" customHeight="true" outlineLevel="0" collapsed="false">
      <c r="A73" s="11" t="s">
        <v>284</v>
      </c>
      <c r="B73" s="19" t="s">
        <v>36</v>
      </c>
      <c r="C73" s="19" t="s">
        <v>285</v>
      </c>
      <c r="D73" s="19" t="s">
        <v>286</v>
      </c>
      <c r="E73" s="27" t="s">
        <v>287</v>
      </c>
      <c r="F73" s="19" t="s">
        <v>288</v>
      </c>
      <c r="G73" s="24" t="s">
        <v>19</v>
      </c>
    </row>
    <row r="74" customFormat="false" ht="15" hidden="false" customHeight="true" outlineLevel="0" collapsed="false">
      <c r="A74" s="11" t="s">
        <v>289</v>
      </c>
      <c r="B74" s="19" t="s">
        <v>36</v>
      </c>
      <c r="C74" s="19" t="s">
        <v>281</v>
      </c>
      <c r="D74" s="19" t="s">
        <v>290</v>
      </c>
      <c r="E74" s="22" t="s">
        <v>19</v>
      </c>
      <c r="F74" s="11" t="s">
        <v>20</v>
      </c>
      <c r="G74" s="24" t="s">
        <v>19</v>
      </c>
    </row>
    <row r="75" customFormat="false" ht="15" hidden="false" customHeight="true" outlineLevel="0" collapsed="false">
      <c r="A75" s="19" t="s">
        <v>291</v>
      </c>
      <c r="B75" s="19" t="s">
        <v>65</v>
      </c>
      <c r="C75" s="19" t="s">
        <v>292</v>
      </c>
      <c r="D75" s="19" t="s">
        <v>293</v>
      </c>
      <c r="E75" s="22" t="s">
        <v>19</v>
      </c>
      <c r="F75" s="11" t="s">
        <v>20</v>
      </c>
      <c r="G75" s="24" t="s">
        <v>19</v>
      </c>
    </row>
  </sheetData>
  <autoFilter ref="A10:F66"/>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2"/>
    <col collapsed="false" customWidth="true" hidden="false" outlineLevel="0" max="3" min="3" style="14" width="20"/>
    <col collapsed="false" customWidth="true" hidden="false" outlineLevel="0" max="5" min="4" style="14" width="14"/>
    <col collapsed="false" customWidth="true" hidden="false" outlineLevel="0" max="6" min="6" style="14" width="70"/>
  </cols>
  <sheetData>
    <row r="1" customFormat="false" ht="16.5" hidden="false" customHeight="true" outlineLevel="0" collapsed="false">
      <c r="A1" s="28" t="s">
        <v>294</v>
      </c>
    </row>
    <row r="2" customFormat="false" ht="30" hidden="false" customHeight="true" outlineLevel="0" collapsed="false">
      <c r="A2" s="16" t="s">
        <v>295</v>
      </c>
      <c r="B2" s="16"/>
      <c r="C2" s="16"/>
      <c r="D2" s="16"/>
      <c r="E2" s="16"/>
      <c r="F2" s="16"/>
    </row>
    <row r="4" customFormat="false" ht="15" hidden="false" customHeight="true" outlineLevel="0" collapsed="false">
      <c r="A4" s="29" t="s">
        <v>296</v>
      </c>
    </row>
    <row r="5" customFormat="false" ht="15" hidden="false" customHeight="true" outlineLevel="0" collapsed="false">
      <c r="A5" s="30" t="s">
        <v>297</v>
      </c>
      <c r="B5" s="2" t="s">
        <v>298</v>
      </c>
      <c r="C5" s="2" t="s">
        <v>299</v>
      </c>
    </row>
    <row r="6" customFormat="false" ht="15" hidden="false" customHeight="true" outlineLevel="0" collapsed="false">
      <c r="A6" s="31" t="s">
        <v>26</v>
      </c>
      <c r="B6" s="32" t="n">
        <f aca="false">COUNTIF(单一被试!$J$2:$J$46,"无保留")</f>
        <v>13</v>
      </c>
      <c r="C6" s="32" t="n">
        <f aca="false">COUNTIF(单一被试!$K$2:$K$46,"无保留")</f>
        <v>6</v>
      </c>
    </row>
    <row r="7" customFormat="false" ht="15" hidden="false" customHeight="true" outlineLevel="0" collapsed="false">
      <c r="A7" s="31" t="s">
        <v>18</v>
      </c>
      <c r="B7" s="32" t="n">
        <f aca="false">COUNTIF(单一被试!$J$2:$J$46,"有保留")</f>
        <v>22</v>
      </c>
      <c r="C7" s="32" t="n">
        <f aca="false">COUNTIF(单一被试!$K$2:$K$46,"有保留")</f>
        <v>29</v>
      </c>
    </row>
    <row r="8" customFormat="false" ht="15" hidden="false" customHeight="true" outlineLevel="0" collapsed="false">
      <c r="A8" s="31" t="s">
        <v>80</v>
      </c>
      <c r="B8" s="32" t="n">
        <f aca="false">COUNTIF(单一被试!$J$2:$J$46,"不达标")</f>
        <v>10</v>
      </c>
      <c r="C8" s="32" t="n">
        <f aca="false">COUNTIF(单一被试!$K$2:$K$46,"不达标")</f>
        <v>10</v>
      </c>
    </row>
    <row r="9" customFormat="false" ht="15" hidden="false" customHeight="true" outlineLevel="0" collapsed="false">
      <c r="A9" s="29" t="s">
        <v>300</v>
      </c>
      <c r="B9" s="33" t="n">
        <f aca="false">B6+B7</f>
        <v>35</v>
      </c>
      <c r="C9" s="33" t="n">
        <f aca="false">C6+C7</f>
        <v>35</v>
      </c>
    </row>
    <row r="10" customFormat="false" ht="26.25" hidden="false" customHeight="true" outlineLevel="0" collapsed="false">
      <c r="A10" s="31" t="s">
        <v>301</v>
      </c>
      <c r="B10" s="32" t="n">
        <f aca="false">COUNTIF(单一被试!$L$2:$L$46,"一致")</f>
        <v>34</v>
      </c>
      <c r="C10" s="32" t="n">
        <f aca="false">COUNTIF(单一被试!$L$2:$L$46,"不一致")</f>
        <v>11</v>
      </c>
      <c r="D10" s="31" t="s">
        <v>302</v>
      </c>
    </row>
    <row r="12" customFormat="false" ht="26.25" hidden="false" customHeight="true" outlineLevel="0" collapsed="false">
      <c r="A12" s="29" t="s">
        <v>303</v>
      </c>
    </row>
    <row r="13" customFormat="false" ht="15" hidden="false" customHeight="true" outlineLevel="0" collapsed="false">
      <c r="A13" s="2" t="s">
        <v>304</v>
      </c>
      <c r="B13" s="30" t="s">
        <v>26</v>
      </c>
      <c r="C13" s="30" t="s">
        <v>18</v>
      </c>
      <c r="D13" s="30" t="s">
        <v>80</v>
      </c>
      <c r="E13" s="30" t="s">
        <v>3</v>
      </c>
    </row>
    <row r="14" customFormat="false" ht="15" hidden="false" customHeight="true" outlineLevel="0" collapsed="false">
      <c r="A14" s="31" t="s">
        <v>26</v>
      </c>
      <c r="B14" s="32" t="n">
        <f aca="false">COUNTIFS(单一被试!$J$2:$J$46,"无保留",单一被试!$K$2:$K$46,"无保留")</f>
        <v>5</v>
      </c>
      <c r="C14" s="32" t="n">
        <f aca="false">COUNTIFS(单一被试!$J$2:$J$46,"无保留",单一被试!$K$2:$K$46,"有保留")</f>
        <v>8</v>
      </c>
      <c r="D14" s="32" t="n">
        <f aca="false">COUNTIFS(单一被试!$J$2:$J$46,"无保留",单一被试!$K$2:$K$46,"不达标")</f>
        <v>0</v>
      </c>
      <c r="E14" s="33" t="n">
        <f aca="false">SUM(B14:D14)</f>
        <v>13</v>
      </c>
    </row>
    <row r="15" customFormat="false" ht="15" hidden="false" customHeight="true" outlineLevel="0" collapsed="false">
      <c r="A15" s="31" t="s">
        <v>18</v>
      </c>
      <c r="B15" s="32" t="n">
        <f aca="false">COUNTIFS(单一被试!$J$2:$J$46,"有保留",单一被试!$K$2:$K$46,"无保留")</f>
        <v>1</v>
      </c>
      <c r="C15" s="32" t="n">
        <f aca="false">COUNTIFS(单一被试!$J$2:$J$46,"有保留",单一被试!$K$2:$K$46,"有保留")</f>
        <v>20</v>
      </c>
      <c r="D15" s="32" t="n">
        <f aca="false">COUNTIFS(单一被试!$J$2:$J$46,"有保留",单一被试!$K$2:$K$46,"不达标")</f>
        <v>1</v>
      </c>
      <c r="E15" s="33" t="n">
        <f aca="false">SUM(B15:D15)</f>
        <v>22</v>
      </c>
    </row>
    <row r="16" customFormat="false" ht="15" hidden="false" customHeight="true" outlineLevel="0" collapsed="false">
      <c r="A16" s="31" t="s">
        <v>80</v>
      </c>
      <c r="B16" s="32" t="n">
        <f aca="false">COUNTIFS(单一被试!$J$2:$J$46,"不达标",单一被试!$K$2:$K$46,"无保留")</f>
        <v>0</v>
      </c>
      <c r="C16" s="32" t="n">
        <f aca="false">COUNTIFS(单一被试!$J$2:$J$46,"不达标",单一被试!$K$2:$K$46,"有保留")</f>
        <v>1</v>
      </c>
      <c r="D16" s="32" t="n">
        <f aca="false">COUNTIFS(单一被试!$J$2:$J$46,"不达标",单一被试!$K$2:$K$46,"不达标")</f>
        <v>9</v>
      </c>
      <c r="E16" s="33" t="n">
        <f aca="false">SUM(B16:D16)</f>
        <v>10</v>
      </c>
    </row>
    <row r="17" customFormat="false" ht="15" hidden="false" customHeight="true" outlineLevel="0" collapsed="false">
      <c r="A17" s="29" t="s">
        <v>3</v>
      </c>
      <c r="B17" s="33" t="n">
        <f aca="false">SUM(B14:B16)</f>
        <v>6</v>
      </c>
      <c r="C17" s="33" t="n">
        <f aca="false">SUM(C14:C16)</f>
        <v>29</v>
      </c>
      <c r="D17" s="33" t="n">
        <f aca="false">SUM(D14:D16)</f>
        <v>10</v>
      </c>
      <c r="E17" s="33" t="n">
        <f aca="false">SUM(E14:E16)</f>
        <v>45</v>
      </c>
    </row>
    <row r="19" customFormat="false" ht="26.25" hidden="false" customHeight="true" outlineLevel="0" collapsed="false">
      <c r="A19" s="29" t="s">
        <v>305</v>
      </c>
    </row>
    <row r="20" customFormat="false" ht="15" hidden="false" customHeight="true" outlineLevel="0" collapsed="false">
      <c r="A20" s="30" t="s">
        <v>306</v>
      </c>
      <c r="B20" s="30" t="s">
        <v>307</v>
      </c>
    </row>
    <row r="21" customFormat="false" ht="15" hidden="false" customHeight="true" outlineLevel="0" collapsed="false">
      <c r="A21" s="31" t="s">
        <v>308</v>
      </c>
      <c r="B21" s="32" t="n">
        <f aca="false">COUNTIFS(单一被试!$J$2:$J$46,"&lt;&gt;不达标",单一被试!$H$2:$H$46,"强*")</f>
        <v>21</v>
      </c>
    </row>
    <row r="22" customFormat="false" ht="15" hidden="false" customHeight="true" outlineLevel="0" collapsed="false">
      <c r="A22" s="31" t="s">
        <v>309</v>
      </c>
      <c r="B22" s="32" t="n">
        <f aca="false">COUNTIFS(单一被试!$J$2:$J$46,"&lt;&gt;不达标",单一被试!$H$2:$H$46,"中等*")</f>
        <v>13</v>
      </c>
    </row>
    <row r="23" customFormat="false" ht="26.25" hidden="false" customHeight="true" outlineLevel="0" collapsed="false">
      <c r="A23" s="31" t="s">
        <v>310</v>
      </c>
      <c r="B23" s="32" t="n">
        <f aca="false">COUNTIFS(单一被试!$J$2:$J$46,"&lt;&gt;不达标",单一被试!$H$2:$H$46,"*无证据*")</f>
        <v>1</v>
      </c>
    </row>
    <row r="24" customFormat="false" ht="15" hidden="false" customHeight="true" outlineLevel="0" collapsed="false">
      <c r="A24" s="29" t="s">
        <v>3</v>
      </c>
      <c r="B24" s="33" t="n">
        <f aca="false">SUM(B21:B23)</f>
        <v>35</v>
      </c>
      <c r="C24" s="32" t="str">
        <f aca="false">IF(B24=B9,"与3.0达标篇数相符","核对")</f>
        <v>与3.0达标篇数相符</v>
      </c>
    </row>
    <row r="26" customFormat="false" ht="26.25" hidden="false" customHeight="true" outlineLevel="0" collapsed="false">
      <c r="A26" s="29" t="s">
        <v>311</v>
      </c>
    </row>
    <row r="27" customFormat="false" ht="15" hidden="false" customHeight="true" outlineLevel="0" collapsed="false">
      <c r="A27" s="30" t="s">
        <v>297</v>
      </c>
      <c r="B27" s="30" t="s">
        <v>312</v>
      </c>
      <c r="C27" s="30" t="s">
        <v>313</v>
      </c>
    </row>
    <row r="28" customFormat="false" ht="15" hidden="false" customHeight="true" outlineLevel="0" collapsed="false">
      <c r="A28" s="31" t="s">
        <v>26</v>
      </c>
      <c r="B28" s="32" t="n">
        <f aca="false">COUNTIF(组间设计!$I$2:$I$10,"无保留")</f>
        <v>6</v>
      </c>
      <c r="C28" s="32" t="n">
        <f aca="false">COUNTIF(组间设计!$J$2:$J$10,"无保留")</f>
        <v>4</v>
      </c>
    </row>
    <row r="29" customFormat="false" ht="15" hidden="false" customHeight="true" outlineLevel="0" collapsed="false">
      <c r="A29" s="31" t="s">
        <v>18</v>
      </c>
      <c r="B29" s="32" t="n">
        <f aca="false">COUNTIF(组间设计!$I$2:$I$10,"有保留")</f>
        <v>0</v>
      </c>
      <c r="C29" s="32" t="n">
        <f aca="false">COUNTIF(组间设计!$J$2:$J$10,"有保留")</f>
        <v>1</v>
      </c>
    </row>
    <row r="30" customFormat="false" ht="15" hidden="false" customHeight="true" outlineLevel="0" collapsed="false">
      <c r="A30" s="31" t="s">
        <v>80</v>
      </c>
      <c r="B30" s="32" t="n">
        <f aca="false">COUNTIF(组间设计!$I$2:$I$10,"不达标")</f>
        <v>3</v>
      </c>
      <c r="C30" s="32" t="n">
        <f aca="false">COUNTIF(组间设计!$J$2:$J$10,"不达标")</f>
        <v>4</v>
      </c>
    </row>
    <row r="31" customFormat="false" ht="15" hidden="false" customHeight="true" outlineLevel="0" collapsed="false">
      <c r="A31" s="29" t="s">
        <v>314</v>
      </c>
      <c r="B31" s="33" t="n">
        <f aca="false">B28+B29</f>
        <v>6</v>
      </c>
      <c r="C31" s="33" t="n">
        <f aca="false">C28+C29</f>
        <v>5</v>
      </c>
    </row>
    <row r="33" customFormat="false" ht="15" hidden="false" customHeight="true" outlineLevel="0" collapsed="false">
      <c r="A33" s="29" t="s">
        <v>315</v>
      </c>
    </row>
    <row r="34" customFormat="false" ht="15" hidden="false" customHeight="true" outlineLevel="0" collapsed="false">
      <c r="A34" s="30" t="s">
        <v>316</v>
      </c>
      <c r="B34" s="30" t="s">
        <v>317</v>
      </c>
      <c r="C34" s="30" t="s">
        <v>318</v>
      </c>
    </row>
    <row r="35" customFormat="false" ht="45" hidden="false" customHeight="true" outlineLevel="0" collapsed="false">
      <c r="A35" s="34" t="s">
        <v>319</v>
      </c>
      <c r="B35" s="34" t="s">
        <v>320</v>
      </c>
      <c r="C35" s="34" t="s">
        <v>321</v>
      </c>
    </row>
    <row r="36" customFormat="false" ht="45" hidden="false" customHeight="true" outlineLevel="0" collapsed="false">
      <c r="A36" s="34" t="s">
        <v>322</v>
      </c>
      <c r="B36" s="34" t="s">
        <v>323</v>
      </c>
      <c r="C36" s="34" t="s">
        <v>321</v>
      </c>
    </row>
    <row r="37" customFormat="false" ht="45" hidden="false" customHeight="true" outlineLevel="0" collapsed="false">
      <c r="A37" s="34" t="s">
        <v>324</v>
      </c>
      <c r="B37" s="34" t="s">
        <v>325</v>
      </c>
      <c r="C37" s="34" t="s">
        <v>326</v>
      </c>
    </row>
    <row r="38" customFormat="false" ht="45" hidden="false" customHeight="true" outlineLevel="0" collapsed="false">
      <c r="A38" s="34" t="s">
        <v>327</v>
      </c>
      <c r="B38" s="34" t="s">
        <v>328</v>
      </c>
      <c r="C38" s="34" t="s">
        <v>329</v>
      </c>
    </row>
    <row r="39" customFormat="false" ht="45" hidden="false" customHeight="true" outlineLevel="0" collapsed="false">
      <c r="A39" s="34" t="s">
        <v>330</v>
      </c>
      <c r="B39" s="34" t="s">
        <v>331</v>
      </c>
      <c r="C39" s="34" t="s">
        <v>332</v>
      </c>
    </row>
    <row r="41" customFormat="false" ht="26.25" hidden="false" customHeight="true" outlineLevel="0" collapsed="false">
      <c r="A41" s="29" t="s">
        <v>333</v>
      </c>
    </row>
    <row r="42" customFormat="false" ht="15" hidden="false" customHeight="true" outlineLevel="0" collapsed="false">
      <c r="A42" s="16" t="s">
        <v>334</v>
      </c>
      <c r="B42" s="16"/>
      <c r="C42" s="16"/>
      <c r="D42" s="16"/>
      <c r="E42" s="16"/>
      <c r="F42" s="16"/>
    </row>
    <row r="43" customFormat="false" ht="15" hidden="false" customHeight="true" outlineLevel="0" collapsed="false">
      <c r="A43" s="16" t="s">
        <v>335</v>
      </c>
      <c r="B43" s="16"/>
      <c r="C43" s="16"/>
      <c r="D43" s="16"/>
      <c r="E43" s="16"/>
      <c r="F43" s="16"/>
    </row>
    <row r="44" customFormat="false" ht="15" hidden="false" customHeight="true" outlineLevel="0" collapsed="false">
      <c r="A44" s="16" t="s">
        <v>336</v>
      </c>
      <c r="B44" s="16"/>
      <c r="C44" s="16"/>
      <c r="D44" s="16"/>
      <c r="E44" s="16"/>
      <c r="F44" s="16"/>
    </row>
    <row r="45" customFormat="false" ht="15" hidden="false" customHeight="true" outlineLevel="0" collapsed="false">
      <c r="A45" s="16" t="s">
        <v>337</v>
      </c>
      <c r="B45" s="16"/>
      <c r="C45" s="16"/>
      <c r="D45" s="16"/>
      <c r="E45" s="16"/>
      <c r="F45" s="16"/>
    </row>
    <row r="46" customFormat="false" ht="15" hidden="false" customHeight="true" outlineLevel="0" collapsed="false">
      <c r="A46" s="16" t="s">
        <v>338</v>
      </c>
      <c r="B46" s="16"/>
      <c r="C46" s="16"/>
      <c r="D46" s="16"/>
      <c r="E46" s="16"/>
      <c r="F46" s="16"/>
    </row>
    <row r="48" customFormat="false" ht="26.25" hidden="false" customHeight="true" outlineLevel="0" collapsed="false">
      <c r="A48" s="29" t="s">
        <v>339</v>
      </c>
    </row>
    <row r="49" customFormat="false" ht="31.5" hidden="false" customHeight="true" outlineLevel="0" collapsed="false">
      <c r="A49" s="35" t="s">
        <v>340</v>
      </c>
      <c r="B49" s="35"/>
      <c r="C49" s="35"/>
      <c r="D49" s="35"/>
      <c r="E49" s="35"/>
      <c r="F49" s="35"/>
    </row>
    <row r="50" customFormat="false" ht="31.5" hidden="false" customHeight="true" outlineLevel="0" collapsed="false">
      <c r="A50" s="35" t="s">
        <v>341</v>
      </c>
      <c r="B50" s="35"/>
      <c r="C50" s="35"/>
      <c r="D50" s="35"/>
      <c r="E50" s="35"/>
      <c r="F50" s="35"/>
    </row>
    <row r="51" customFormat="false" ht="31.5" hidden="false" customHeight="true" outlineLevel="0" collapsed="false">
      <c r="A51" s="35" t="s">
        <v>342</v>
      </c>
      <c r="B51" s="35"/>
      <c r="C51" s="35"/>
      <c r="D51" s="35"/>
      <c r="E51" s="35"/>
      <c r="F51" s="35"/>
    </row>
    <row r="52" customFormat="false" ht="31.5" hidden="false" customHeight="true" outlineLevel="0" collapsed="false">
      <c r="A52" s="35" t="s">
        <v>343</v>
      </c>
      <c r="B52" s="35"/>
      <c r="C52" s="35"/>
      <c r="D52" s="35"/>
      <c r="E52" s="35"/>
      <c r="F52" s="35"/>
    </row>
    <row r="53" customFormat="false" ht="31.5" hidden="false" customHeight="true" outlineLevel="0" collapsed="false">
      <c r="A53" s="35" t="s">
        <v>344</v>
      </c>
      <c r="B53" s="35"/>
      <c r="C53" s="35"/>
      <c r="D53" s="35"/>
      <c r="E53" s="35"/>
      <c r="F53" s="35"/>
    </row>
    <row r="54" customFormat="false" ht="31.5" hidden="false" customHeight="true" outlineLevel="0" collapsed="false">
      <c r="A54" s="35" t="s">
        <v>345</v>
      </c>
      <c r="B54" s="35"/>
      <c r="C54" s="35"/>
      <c r="D54" s="35"/>
      <c r="E54" s="35"/>
      <c r="F54" s="35"/>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4" width="40"/>
    <col collapsed="false" customWidth="true" hidden="false" outlineLevel="0" max="2" min="2" style="14" width="22"/>
    <col collapsed="false" customWidth="true" hidden="false" outlineLevel="0" max="3" min="3" style="14" width="24"/>
    <col collapsed="false" customWidth="true" hidden="false" outlineLevel="0" max="5" min="4" style="14" width="14"/>
    <col collapsed="false" customWidth="true" hidden="false" outlineLevel="0" max="6" min="6" style="14" width="60"/>
  </cols>
  <sheetData>
    <row r="1" customFormat="false" ht="32.25" hidden="false" customHeight="true" outlineLevel="0" collapsed="false">
      <c r="A1" s="36" t="s">
        <v>346</v>
      </c>
    </row>
    <row r="2" customFormat="false" ht="30" hidden="false" customHeight="true" outlineLevel="0" collapsed="false">
      <c r="A2" s="16" t="s">
        <v>347</v>
      </c>
      <c r="B2" s="16"/>
      <c r="C2" s="16"/>
      <c r="D2" s="16"/>
      <c r="E2" s="16"/>
      <c r="F2" s="16"/>
    </row>
    <row r="4" customFormat="false" ht="15" hidden="false" customHeight="true" outlineLevel="0" collapsed="false">
      <c r="A4" s="29" t="s">
        <v>348</v>
      </c>
    </row>
    <row r="5" customFormat="false" ht="15" hidden="false" customHeight="true" outlineLevel="0" collapsed="false">
      <c r="A5" s="30" t="s">
        <v>297</v>
      </c>
      <c r="B5" s="2" t="s">
        <v>298</v>
      </c>
      <c r="C5" s="2" t="s">
        <v>299</v>
      </c>
    </row>
    <row r="6" customFormat="false" ht="15" hidden="false" customHeight="true" outlineLevel="0" collapsed="false">
      <c r="A6" s="31" t="s">
        <v>26</v>
      </c>
      <c r="B6" s="32" t="n">
        <f aca="false">COUNTIF(母本单一被试!$K$2:$K$26,"无保留")</f>
        <v>9</v>
      </c>
      <c r="C6" s="32" t="n">
        <f aca="false">COUNTIF(母本单一被试!$L$2:$L$26,"无保留")</f>
        <v>7</v>
      </c>
    </row>
    <row r="7" customFormat="false" ht="15" hidden="false" customHeight="true" outlineLevel="0" collapsed="false">
      <c r="A7" s="31" t="s">
        <v>18</v>
      </c>
      <c r="B7" s="32" t="n">
        <f aca="false">COUNTIF(母本单一被试!$K$2:$K$26,"有保留")</f>
        <v>14</v>
      </c>
      <c r="C7" s="32" t="n">
        <f aca="false">COUNTIF(母本单一被试!$L$2:$L$26,"有保留")</f>
        <v>14</v>
      </c>
    </row>
    <row r="8" customFormat="false" ht="15" hidden="false" customHeight="true" outlineLevel="0" collapsed="false">
      <c r="A8" s="31" t="s">
        <v>80</v>
      </c>
      <c r="B8" s="32" t="n">
        <f aca="false">COUNTIF(母本单一被试!$K$2:$K$26,"不达标")</f>
        <v>2</v>
      </c>
      <c r="C8" s="32" t="n">
        <f aca="false">COUNTIF(母本单一被试!$L$2:$L$26,"不达标")</f>
        <v>4</v>
      </c>
    </row>
    <row r="9" customFormat="false" ht="15" hidden="false" customHeight="true" outlineLevel="0" collapsed="false">
      <c r="A9" s="29" t="s">
        <v>314</v>
      </c>
      <c r="B9" s="33" t="n">
        <f aca="false">B6+B7</f>
        <v>23</v>
      </c>
      <c r="C9" s="33" t="n">
        <f aca="false">C6+C7</f>
        <v>21</v>
      </c>
    </row>
    <row r="10" customFormat="false" ht="15" hidden="false" customHeight="true" outlineLevel="0" collapsed="false">
      <c r="A10" s="31" t="s">
        <v>301</v>
      </c>
      <c r="B10" s="32" t="n">
        <f aca="false">COUNTIF(母本单一被试!$M$2:$M$26,"一致")</f>
        <v>22</v>
      </c>
      <c r="C10" s="32" t="n">
        <f aca="false">COUNTIF(母本单一被试!$M$2:$M$26,"不一致")</f>
        <v>3</v>
      </c>
    </row>
    <row r="12" customFormat="false" ht="15" hidden="false" customHeight="true" outlineLevel="0" collapsed="false">
      <c r="A12" s="29" t="s">
        <v>349</v>
      </c>
    </row>
    <row r="13" customFormat="false" ht="15" hidden="false" customHeight="true" outlineLevel="0" collapsed="false">
      <c r="A13" s="2" t="s">
        <v>304</v>
      </c>
      <c r="B13" s="30" t="s">
        <v>26</v>
      </c>
      <c r="C13" s="30" t="s">
        <v>18</v>
      </c>
      <c r="D13" s="30" t="s">
        <v>80</v>
      </c>
      <c r="E13" s="30" t="s">
        <v>3</v>
      </c>
    </row>
    <row r="14" customFormat="false" ht="15" hidden="false" customHeight="true" outlineLevel="0" collapsed="false">
      <c r="A14" s="31" t="s">
        <v>26</v>
      </c>
      <c r="B14" s="32" t="n">
        <f aca="false">COUNTIFS(母本单一被试!$K$2:$K$26,"无保留",母本单一被试!$L$2:$L$26,"无保留")</f>
        <v>7</v>
      </c>
      <c r="C14" s="32" t="n">
        <f aca="false">COUNTIFS(母本单一被试!$K$2:$K$26,"无保留",母本单一被试!$L$2:$L$26,"有保留")</f>
        <v>1</v>
      </c>
      <c r="D14" s="32" t="n">
        <f aca="false">COUNTIFS(母本单一被试!$K$2:$K$26,"无保留",母本单一被试!$L$2:$L$26,"不达标")</f>
        <v>1</v>
      </c>
      <c r="E14" s="33" t="n">
        <f aca="false">SUM(B14:D14)</f>
        <v>9</v>
      </c>
    </row>
    <row r="15" customFormat="false" ht="15" hidden="false" customHeight="true" outlineLevel="0" collapsed="false">
      <c r="A15" s="31" t="s">
        <v>18</v>
      </c>
      <c r="B15" s="32" t="n">
        <f aca="false">COUNTIFS(母本单一被试!$K$2:$K$26,"有保留",母本单一被试!$L$2:$L$26,"无保留")</f>
        <v>0</v>
      </c>
      <c r="C15" s="32" t="n">
        <f aca="false">COUNTIFS(母本单一被试!$K$2:$K$26,"有保留",母本单一被试!$L$2:$L$26,"有保留")</f>
        <v>13</v>
      </c>
      <c r="D15" s="32" t="n">
        <f aca="false">COUNTIFS(母本单一被试!$K$2:$K$26,"有保留",母本单一被试!$L$2:$L$26,"不达标")</f>
        <v>1</v>
      </c>
      <c r="E15" s="33" t="n">
        <f aca="false">SUM(B15:D15)</f>
        <v>14</v>
      </c>
    </row>
    <row r="16" customFormat="false" ht="15" hidden="false" customHeight="true" outlineLevel="0" collapsed="false">
      <c r="A16" s="31" t="s">
        <v>80</v>
      </c>
      <c r="B16" s="32" t="n">
        <f aca="false">COUNTIFS(母本单一被试!$K$2:$K$26,"不达标",母本单一被试!$L$2:$L$26,"无保留")</f>
        <v>0</v>
      </c>
      <c r="C16" s="32" t="n">
        <f aca="false">COUNTIFS(母本单一被试!$K$2:$K$26,"不达标",母本单一被试!$L$2:$L$26,"有保留")</f>
        <v>0</v>
      </c>
      <c r="D16" s="32" t="n">
        <f aca="false">COUNTIFS(母本单一被试!$K$2:$K$26,"不达标",母本单一被试!$L$2:$L$26,"不达标")</f>
        <v>2</v>
      </c>
      <c r="E16" s="33" t="n">
        <f aca="false">SUM(B16:D16)</f>
        <v>2</v>
      </c>
    </row>
    <row r="17" customFormat="false" ht="15" hidden="false" customHeight="true" outlineLevel="0" collapsed="false">
      <c r="A17" s="29" t="s">
        <v>3</v>
      </c>
      <c r="B17" s="33" t="n">
        <f aca="false">SUM(B14:B16)</f>
        <v>7</v>
      </c>
      <c r="C17" s="33" t="n">
        <f aca="false">SUM(C14:C16)</f>
        <v>14</v>
      </c>
      <c r="D17" s="33" t="n">
        <f aca="false">SUM(D14:D16)</f>
        <v>4</v>
      </c>
      <c r="E17" s="33" t="n">
        <f aca="false">SUM(E14:E16)</f>
        <v>25</v>
      </c>
    </row>
    <row r="19" customFormat="false" ht="15" hidden="false" customHeight="true" outlineLevel="0" collapsed="false">
      <c r="A19" s="29" t="s">
        <v>350</v>
      </c>
    </row>
    <row r="20" customFormat="false" ht="15" hidden="false" customHeight="true" outlineLevel="0" collapsed="false">
      <c r="A20" s="30" t="s">
        <v>306</v>
      </c>
      <c r="B20" s="30" t="s">
        <v>307</v>
      </c>
    </row>
    <row r="21" customFormat="false" ht="15" hidden="false" customHeight="true" outlineLevel="0" collapsed="false">
      <c r="A21" s="31" t="s">
        <v>308</v>
      </c>
      <c r="B21" s="32" t="n">
        <f aca="false">COUNTIFS(母本单一被试!$K$2:$K$26,"&lt;&gt;不达标",母本单一被试!$H$2:$H$26,"强*")</f>
        <v>15</v>
      </c>
    </row>
    <row r="22" customFormat="false" ht="15" hidden="false" customHeight="true" outlineLevel="0" collapsed="false">
      <c r="A22" s="31" t="s">
        <v>309</v>
      </c>
      <c r="B22" s="32" t="n">
        <f aca="false">COUNTIFS(母本单一被试!$K$2:$K$26,"&lt;&gt;不达标",母本单一被试!$H$2:$H$26,"中等*")</f>
        <v>7</v>
      </c>
    </row>
    <row r="23" customFormat="false" ht="15" hidden="false" customHeight="true" outlineLevel="0" collapsed="false">
      <c r="A23" s="31" t="s">
        <v>351</v>
      </c>
      <c r="B23" s="32" t="n">
        <f aca="false">COUNTIFS(母本单一被试!$K$2:$K$26,"&lt;&gt;不达标",母本单一被试!$H$2:$H$26,"无证据*")</f>
        <v>1</v>
      </c>
    </row>
    <row r="24" customFormat="false" ht="15" hidden="false" customHeight="true" outlineLevel="0" collapsed="false">
      <c r="A24" s="29" t="s">
        <v>3</v>
      </c>
      <c r="B24" s="33" t="n">
        <f aca="false">SUM(B21:B23)</f>
        <v>23</v>
      </c>
      <c r="C24" s="32" t="str">
        <f aca="false">IF(B24=B9,"与3.0达标篇数相符","核对")</f>
        <v>与3.0达标篇数相符</v>
      </c>
    </row>
    <row r="26" customFormat="false" ht="15" hidden="false" customHeight="true" outlineLevel="0" collapsed="false">
      <c r="A26" s="29" t="s">
        <v>352</v>
      </c>
    </row>
    <row r="27" customFormat="false" ht="15" hidden="false" customHeight="true" outlineLevel="0" collapsed="false">
      <c r="A27" s="30" t="s">
        <v>297</v>
      </c>
      <c r="B27" s="2" t="s">
        <v>298</v>
      </c>
      <c r="C27" s="2" t="s">
        <v>299</v>
      </c>
    </row>
    <row r="28" customFormat="false" ht="15" hidden="false" customHeight="true" outlineLevel="0" collapsed="false">
      <c r="A28" s="31" t="s">
        <v>26</v>
      </c>
      <c r="B28" s="32" t="n">
        <f aca="false">COUNTIF(母本组间设计!$J$2:$J$4,"无保留")</f>
        <v>2</v>
      </c>
      <c r="C28" s="32" t="n">
        <f aca="false">COUNTIF(母本组间设计!$K$2:$K$4,"无保留")</f>
        <v>2</v>
      </c>
    </row>
    <row r="29" customFormat="false" ht="15" hidden="false" customHeight="true" outlineLevel="0" collapsed="false">
      <c r="A29" s="31" t="s">
        <v>18</v>
      </c>
      <c r="B29" s="32" t="n">
        <f aca="false">COUNTIF(母本组间设计!$J$2:$J$4,"有保留")</f>
        <v>1</v>
      </c>
      <c r="C29" s="32" t="n">
        <f aca="false">COUNTIF(母本组间设计!$K$2:$K$4,"有保留")</f>
        <v>1</v>
      </c>
    </row>
    <row r="30" customFormat="false" ht="15" hidden="false" customHeight="true" outlineLevel="0" collapsed="false">
      <c r="A30" s="31" t="s">
        <v>80</v>
      </c>
      <c r="B30" s="32" t="n">
        <f aca="false">COUNTIF(母本组间设计!$J$2:$J$4,"不达标")</f>
        <v>0</v>
      </c>
      <c r="C30" s="32" t="n">
        <f aca="false">COUNTIF(母本组间设计!$K$2:$K$4,"不达标")</f>
        <v>0</v>
      </c>
    </row>
    <row r="31" customFormat="false" ht="15" hidden="false" customHeight="true" outlineLevel="0" collapsed="false">
      <c r="A31" s="29" t="s">
        <v>314</v>
      </c>
      <c r="B31" s="33" t="n">
        <f aca="false">B28+B29</f>
        <v>3</v>
      </c>
      <c r="C31" s="33" t="n">
        <f aca="false">C28+C29</f>
        <v>3</v>
      </c>
    </row>
    <row r="33" customFormat="false" ht="15" hidden="false" customHeight="true" outlineLevel="0" collapsed="false">
      <c r="A33" s="29" t="s">
        <v>353</v>
      </c>
    </row>
    <row r="34" customFormat="false" ht="15" hidden="false" customHeight="true" outlineLevel="0" collapsed="false">
      <c r="A34" s="30" t="s">
        <v>316</v>
      </c>
      <c r="B34" s="30" t="s">
        <v>317</v>
      </c>
      <c r="C34" s="30" t="s">
        <v>318</v>
      </c>
    </row>
    <row r="35" customFormat="false" ht="45" hidden="false" customHeight="true" outlineLevel="0" collapsed="false">
      <c r="A35" s="34" t="s">
        <v>354</v>
      </c>
      <c r="B35" s="34" t="s">
        <v>355</v>
      </c>
      <c r="C35" s="34" t="s">
        <v>356</v>
      </c>
    </row>
    <row r="36" customFormat="false" ht="45" hidden="false" customHeight="true" outlineLevel="0" collapsed="false">
      <c r="A36" s="34" t="s">
        <v>357</v>
      </c>
      <c r="B36" s="34" t="s">
        <v>358</v>
      </c>
      <c r="C36" s="34" t="s">
        <v>321</v>
      </c>
    </row>
    <row r="37" customFormat="false" ht="45" hidden="false" customHeight="true" outlineLevel="0" collapsed="false">
      <c r="A37" s="34" t="s">
        <v>359</v>
      </c>
      <c r="B37" s="34" t="s">
        <v>360</v>
      </c>
      <c r="C37" s="31" t="s">
        <v>361</v>
      </c>
    </row>
    <row r="39" customFormat="false" ht="26.25" hidden="false" customHeight="true" outlineLevel="0" collapsed="false">
      <c r="A39" s="29" t="s">
        <v>362</v>
      </c>
    </row>
    <row r="40" customFormat="false" ht="31.5" hidden="false" customHeight="true" outlineLevel="0" collapsed="false">
      <c r="A40" s="35" t="s">
        <v>363</v>
      </c>
      <c r="B40" s="35"/>
      <c r="C40" s="35"/>
      <c r="D40" s="35"/>
      <c r="E40" s="35"/>
      <c r="F40" s="35"/>
    </row>
    <row r="41" customFormat="false" ht="31.5" hidden="false" customHeight="true" outlineLevel="0" collapsed="false">
      <c r="A41" s="35" t="s">
        <v>364</v>
      </c>
      <c r="B41" s="35"/>
      <c r="C41" s="35"/>
      <c r="D41" s="35"/>
      <c r="E41" s="35"/>
      <c r="F41" s="35"/>
    </row>
    <row r="42" customFormat="false" ht="31.5" hidden="false" customHeight="true" outlineLevel="0" collapsed="false">
      <c r="A42" s="35" t="s">
        <v>365</v>
      </c>
      <c r="B42" s="35"/>
      <c r="C42" s="35"/>
      <c r="D42" s="35"/>
      <c r="E42" s="35"/>
      <c r="F42" s="35"/>
    </row>
    <row r="43" customFormat="false" ht="31.5" hidden="false" customHeight="true" outlineLevel="0" collapsed="false">
      <c r="A43" s="16" t="s">
        <v>366</v>
      </c>
      <c r="B43" s="16"/>
      <c r="C43" s="16"/>
      <c r="D43" s="16"/>
      <c r="E43" s="16"/>
      <c r="F43" s="16"/>
    </row>
    <row r="45" customFormat="false" ht="15" hidden="false" customHeight="true" outlineLevel="0" collapsed="false">
      <c r="A45" s="29" t="s">
        <v>367</v>
      </c>
    </row>
    <row r="46" customFormat="false" ht="15" hidden="false" customHeight="true" outlineLevel="0" collapsed="false">
      <c r="A46" s="30" t="s">
        <v>297</v>
      </c>
      <c r="B46" s="2" t="s">
        <v>298</v>
      </c>
      <c r="C46" s="2" t="s">
        <v>299</v>
      </c>
    </row>
    <row r="47" customFormat="false" ht="15" hidden="false" customHeight="true" outlineLevel="0" collapsed="false">
      <c r="A47" s="31" t="s">
        <v>26</v>
      </c>
      <c r="B47" s="32" t="n">
        <f aca="false">COUNTIF(母本单一被试!$K$2:$K$26,"无保留")+COUNTIF(单一被试!$J:$J,"无保留")</f>
        <v>22</v>
      </c>
      <c r="C47" s="32" t="n">
        <f aca="false">COUNTIF(母本单一被试!$L$2:$L$26,"无保留")+COUNTIF(单一被试!$K:$K,"无保留")</f>
        <v>13</v>
      </c>
    </row>
    <row r="48" customFormat="false" ht="15" hidden="false" customHeight="true" outlineLevel="0" collapsed="false">
      <c r="A48" s="31" t="s">
        <v>18</v>
      </c>
      <c r="B48" s="32" t="n">
        <f aca="false">COUNTIF(母本单一被试!$K$2:$K$26,"有保留")+COUNTIF(单一被试!$J:$J,"有保留")</f>
        <v>36</v>
      </c>
      <c r="C48" s="32" t="n">
        <f aca="false">COUNTIF(母本单一被试!$L$2:$L$26,"有保留")+COUNTIF(单一被试!$K:$K,"有保留")</f>
        <v>43</v>
      </c>
    </row>
    <row r="49" customFormat="false" ht="15" hidden="false" customHeight="true" outlineLevel="0" collapsed="false">
      <c r="A49" s="31" t="s">
        <v>80</v>
      </c>
      <c r="B49" s="32" t="n">
        <f aca="false">COUNTIF(母本单一被试!$K$2:$K$26,"不达标")+COUNTIF(单一被试!$J:$J,"不达标")</f>
        <v>12</v>
      </c>
      <c r="C49" s="32" t="n">
        <f aca="false">COUNTIF(母本单一被试!$L$2:$L$26,"不达标")+COUNTIF(单一被试!$K:$K,"不达标")</f>
        <v>14</v>
      </c>
    </row>
    <row r="50" customFormat="false" ht="15" hidden="false" customHeight="true" outlineLevel="0" collapsed="false">
      <c r="A50" s="29" t="s">
        <v>314</v>
      </c>
      <c r="B50" s="33" t="n">
        <f aca="false">B47+B48</f>
        <v>58</v>
      </c>
      <c r="C50" s="33" t="n">
        <f aca="false">C47+C48</f>
        <v>56</v>
      </c>
    </row>
    <row r="51" customFormat="false" ht="15" hidden="false" customHeight="true" outlineLevel="0" collapsed="false">
      <c r="A51" s="29" t="s">
        <v>368</v>
      </c>
      <c r="B51" s="33" t="n">
        <f aca="false">SUM(B47:B49)</f>
        <v>70</v>
      </c>
      <c r="C51" s="33"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6"/>
    <col collapsed="false" customWidth="true" hidden="false" outlineLevel="0" max="3" min="3" style="14" width="16"/>
    <col collapsed="false" customWidth="true" hidden="false" outlineLevel="0" max="4" min="4" style="14" width="40"/>
    <col collapsed="false" customWidth="true" hidden="false" outlineLevel="0" max="5" min="5" style="14" width="16"/>
    <col collapsed="false" customWidth="true" hidden="false" outlineLevel="0" max="6" min="6" style="14" width="40"/>
    <col collapsed="false" customWidth="true" hidden="false" outlineLevel="0" max="7" min="7" style="14" width="22"/>
    <col collapsed="false" customWidth="true" hidden="false" outlineLevel="0" max="8" min="8" style="14" width="26"/>
    <col collapsed="false" customWidth="true" hidden="false" outlineLevel="0" max="9" min="9" style="14" width="36"/>
    <col collapsed="false" customWidth="true" hidden="false" outlineLevel="0" max="11" min="10" style="14" width="9"/>
    <col collapsed="false" customWidth="true" hidden="false" outlineLevel="0" max="12" min="12" style="14" width="10"/>
  </cols>
  <sheetData>
    <row r="1" customFormat="false" ht="30" hidden="false" customHeight="true" outlineLevel="0" collapsed="false">
      <c r="A1" s="18" t="s">
        <v>369</v>
      </c>
      <c r="B1" s="18" t="s">
        <v>11</v>
      </c>
      <c r="C1" s="9" t="s">
        <v>370</v>
      </c>
      <c r="D1" s="9" t="s">
        <v>371</v>
      </c>
      <c r="E1" s="9" t="s">
        <v>372</v>
      </c>
      <c r="F1" s="9" t="s">
        <v>373</v>
      </c>
      <c r="G1" s="18" t="s">
        <v>374</v>
      </c>
      <c r="H1" s="9" t="s">
        <v>375</v>
      </c>
      <c r="I1" s="18" t="s">
        <v>276</v>
      </c>
      <c r="J1" s="9" t="s">
        <v>376</v>
      </c>
      <c r="K1" s="9" t="s">
        <v>377</v>
      </c>
      <c r="L1" s="18" t="s">
        <v>378</v>
      </c>
    </row>
    <row r="2" customFormat="false" ht="26.25" hidden="false" customHeight="true" outlineLevel="0" collapsed="false">
      <c r="A2" s="11" t="s">
        <v>37</v>
      </c>
      <c r="B2" s="19" t="s">
        <v>379</v>
      </c>
      <c r="C2" s="27" t="s">
        <v>18</v>
      </c>
      <c r="D2" s="11" t="s">
        <v>380</v>
      </c>
      <c r="E2" s="27" t="s">
        <v>18</v>
      </c>
      <c r="F2" s="19" t="s">
        <v>381</v>
      </c>
      <c r="G2" s="11" t="s">
        <v>20</v>
      </c>
      <c r="H2" s="19" t="s">
        <v>382</v>
      </c>
      <c r="I2" s="11" t="s">
        <v>383</v>
      </c>
      <c r="J2" s="19" t="s">
        <v>18</v>
      </c>
      <c r="K2" s="19" t="s">
        <v>18</v>
      </c>
      <c r="L2" s="19" t="str">
        <f aca="false">IF(J2=K2,"一致","不一致")</f>
        <v>一致</v>
      </c>
    </row>
    <row r="3" customFormat="false" ht="26.25" hidden="false" customHeight="true" outlineLevel="0" collapsed="false">
      <c r="A3" s="37" t="s">
        <v>384</v>
      </c>
      <c r="B3" s="19" t="s">
        <v>385</v>
      </c>
      <c r="C3" s="22" t="s">
        <v>386</v>
      </c>
      <c r="D3" s="19" t="s">
        <v>387</v>
      </c>
      <c r="E3" s="22" t="s">
        <v>386</v>
      </c>
      <c r="F3" s="19" t="s">
        <v>388</v>
      </c>
      <c r="G3" s="11" t="s">
        <v>20</v>
      </c>
      <c r="H3" s="19" t="s">
        <v>389</v>
      </c>
      <c r="I3" s="19" t="s">
        <v>390</v>
      </c>
      <c r="J3" s="19" t="s">
        <v>26</v>
      </c>
      <c r="K3" s="19" t="s">
        <v>26</v>
      </c>
      <c r="L3" s="19" t="str">
        <f aca="false">IF(J3=K3,"一致","不一致")</f>
        <v>一致</v>
      </c>
    </row>
    <row r="4" customFormat="false" ht="26.25" hidden="false" customHeight="true" outlineLevel="0" collapsed="false">
      <c r="A4" s="11" t="s">
        <v>39</v>
      </c>
      <c r="B4" s="19" t="s">
        <v>391</v>
      </c>
      <c r="C4" s="27" t="s">
        <v>18</v>
      </c>
      <c r="D4" s="11" t="s">
        <v>392</v>
      </c>
      <c r="E4" s="27" t="s">
        <v>18</v>
      </c>
      <c r="F4" s="11" t="s">
        <v>393</v>
      </c>
      <c r="G4" s="11" t="s">
        <v>20</v>
      </c>
      <c r="H4" s="19" t="s">
        <v>394</v>
      </c>
      <c r="I4" s="11" t="s">
        <v>395</v>
      </c>
      <c r="J4" s="19" t="s">
        <v>18</v>
      </c>
      <c r="K4" s="19" t="s">
        <v>18</v>
      </c>
      <c r="L4" s="19" t="str">
        <f aca="false">IF(J4=K4,"一致","不一致")</f>
        <v>一致</v>
      </c>
    </row>
    <row r="5" customFormat="false" ht="26.25" hidden="false" customHeight="true" outlineLevel="0" collapsed="false">
      <c r="A5" s="37" t="s">
        <v>396</v>
      </c>
      <c r="B5" s="19" t="s">
        <v>397</v>
      </c>
      <c r="C5" s="22" t="s">
        <v>26</v>
      </c>
      <c r="D5" s="11" t="s">
        <v>20</v>
      </c>
      <c r="E5" s="27" t="s">
        <v>18</v>
      </c>
      <c r="F5" s="11" t="s">
        <v>398</v>
      </c>
      <c r="G5" s="38" t="s">
        <v>399</v>
      </c>
      <c r="H5" s="19" t="s">
        <v>400</v>
      </c>
      <c r="I5" s="11" t="s">
        <v>401</v>
      </c>
      <c r="J5" s="19" t="s">
        <v>26</v>
      </c>
      <c r="K5" s="19" t="s">
        <v>18</v>
      </c>
      <c r="L5" s="19" t="str">
        <f aca="false">IF(J5=K5,"一致","不一致")</f>
        <v>不一致</v>
      </c>
    </row>
    <row r="6" customFormat="false" ht="26.25" hidden="false" customHeight="true" outlineLevel="0" collapsed="false">
      <c r="A6" s="11" t="s">
        <v>91</v>
      </c>
      <c r="B6" s="19" t="s">
        <v>402</v>
      </c>
      <c r="C6" s="27" t="s">
        <v>18</v>
      </c>
      <c r="D6" s="11" t="s">
        <v>403</v>
      </c>
      <c r="E6" s="27" t="s">
        <v>18</v>
      </c>
      <c r="F6" s="11" t="s">
        <v>403</v>
      </c>
      <c r="G6" s="11" t="s">
        <v>20</v>
      </c>
      <c r="H6" s="19" t="s">
        <v>404</v>
      </c>
      <c r="I6" s="11" t="s">
        <v>405</v>
      </c>
      <c r="J6" s="19" t="s">
        <v>18</v>
      </c>
      <c r="K6" s="19" t="s">
        <v>18</v>
      </c>
      <c r="L6" s="19" t="str">
        <f aca="false">IF(J6=K6,"一致","不一致")</f>
        <v>一致</v>
      </c>
    </row>
    <row r="7" customFormat="false" ht="26.25" hidden="false" customHeight="true" outlineLevel="0" collapsed="false">
      <c r="A7" s="37" t="s">
        <v>406</v>
      </c>
      <c r="B7" s="19" t="s">
        <v>402</v>
      </c>
      <c r="C7" s="22" t="s">
        <v>26</v>
      </c>
      <c r="D7" s="11" t="s">
        <v>20</v>
      </c>
      <c r="E7" s="27" t="s">
        <v>18</v>
      </c>
      <c r="F7" s="11" t="s">
        <v>407</v>
      </c>
      <c r="G7" s="38" t="s">
        <v>399</v>
      </c>
      <c r="H7" s="19" t="s">
        <v>408</v>
      </c>
      <c r="I7" s="19" t="s">
        <v>409</v>
      </c>
      <c r="J7" s="19" t="s">
        <v>26</v>
      </c>
      <c r="K7" s="19" t="s">
        <v>18</v>
      </c>
      <c r="L7" s="19" t="str">
        <f aca="false">IF(J7=K7,"一致","不一致")</f>
        <v>不一致</v>
      </c>
    </row>
    <row r="8" customFormat="false" ht="26.25" hidden="false" customHeight="true" outlineLevel="0" collapsed="false">
      <c r="A8" s="11" t="s">
        <v>41</v>
      </c>
      <c r="B8" s="19" t="s">
        <v>410</v>
      </c>
      <c r="C8" s="22" t="s">
        <v>26</v>
      </c>
      <c r="D8" s="11" t="s">
        <v>20</v>
      </c>
      <c r="E8" s="22" t="s">
        <v>26</v>
      </c>
      <c r="F8" s="11" t="s">
        <v>20</v>
      </c>
      <c r="G8" s="11" t="s">
        <v>20</v>
      </c>
      <c r="H8" s="19" t="s">
        <v>411</v>
      </c>
      <c r="I8" s="19" t="s">
        <v>412</v>
      </c>
      <c r="J8" s="19" t="s">
        <v>26</v>
      </c>
      <c r="K8" s="19" t="s">
        <v>26</v>
      </c>
      <c r="L8" s="19" t="str">
        <f aca="false">IF(J8=K8,"一致","不一致")</f>
        <v>一致</v>
      </c>
    </row>
    <row r="9" customFormat="false" ht="26.25" hidden="false" customHeight="true" outlineLevel="0" collapsed="false">
      <c r="A9" s="11" t="s">
        <v>42</v>
      </c>
      <c r="B9" s="19" t="s">
        <v>379</v>
      </c>
      <c r="C9" s="27" t="s">
        <v>18</v>
      </c>
      <c r="D9" s="11" t="s">
        <v>413</v>
      </c>
      <c r="E9" s="27" t="s">
        <v>18</v>
      </c>
      <c r="F9" s="19" t="s">
        <v>414</v>
      </c>
      <c r="G9" s="11" t="s">
        <v>20</v>
      </c>
      <c r="H9" s="19" t="s">
        <v>415</v>
      </c>
      <c r="I9" s="19" t="s">
        <v>416</v>
      </c>
      <c r="J9" s="19" t="s">
        <v>18</v>
      </c>
      <c r="K9" s="19" t="s">
        <v>18</v>
      </c>
      <c r="L9" s="19" t="str">
        <f aca="false">IF(J9=K9,"一致","不一致")</f>
        <v>一致</v>
      </c>
    </row>
    <row r="10" customFormat="false" ht="39" hidden="false" customHeight="true" outlineLevel="0" collapsed="false">
      <c r="A10" s="11" t="s">
        <v>43</v>
      </c>
      <c r="B10" s="19" t="s">
        <v>417</v>
      </c>
      <c r="C10" s="27" t="s">
        <v>18</v>
      </c>
      <c r="D10" s="19" t="s">
        <v>418</v>
      </c>
      <c r="E10" s="27" t="s">
        <v>18</v>
      </c>
      <c r="F10" s="19" t="s">
        <v>419</v>
      </c>
      <c r="G10" s="11" t="s">
        <v>20</v>
      </c>
      <c r="H10" s="19" t="s">
        <v>420</v>
      </c>
      <c r="I10" s="19" t="s">
        <v>421</v>
      </c>
      <c r="J10" s="19" t="s">
        <v>18</v>
      </c>
      <c r="K10" s="19" t="s">
        <v>18</v>
      </c>
      <c r="L10" s="19" t="str">
        <f aca="false">IF(J10=K10,"一致","不一致")</f>
        <v>一致</v>
      </c>
    </row>
    <row r="11" customFormat="false" ht="26.25" hidden="false" customHeight="true" outlineLevel="0" collapsed="false">
      <c r="A11" s="11" t="s">
        <v>44</v>
      </c>
      <c r="B11" s="19" t="s">
        <v>422</v>
      </c>
      <c r="C11" s="27" t="s">
        <v>18</v>
      </c>
      <c r="D11" s="11" t="s">
        <v>423</v>
      </c>
      <c r="E11" s="27" t="s">
        <v>18</v>
      </c>
      <c r="F11" s="11" t="s">
        <v>424</v>
      </c>
      <c r="G11" s="11" t="s">
        <v>20</v>
      </c>
      <c r="H11" s="19" t="s">
        <v>425</v>
      </c>
      <c r="I11" s="19" t="s">
        <v>426</v>
      </c>
      <c r="J11" s="19" t="s">
        <v>18</v>
      </c>
      <c r="K11" s="19" t="s">
        <v>18</v>
      </c>
      <c r="L11" s="19" t="str">
        <f aca="false">IF(J11=K11,"一致","不一致")</f>
        <v>一致</v>
      </c>
    </row>
    <row r="12" customFormat="false" ht="26.25" hidden="false" customHeight="true" outlineLevel="0" collapsed="false">
      <c r="A12" s="37" t="s">
        <v>427</v>
      </c>
      <c r="B12" s="19" t="s">
        <v>402</v>
      </c>
      <c r="C12" s="27" t="s">
        <v>18</v>
      </c>
      <c r="D12" s="19" t="s">
        <v>428</v>
      </c>
      <c r="E12" s="25" t="s">
        <v>429</v>
      </c>
      <c r="F12" s="19" t="s">
        <v>430</v>
      </c>
      <c r="G12" s="38" t="s">
        <v>431</v>
      </c>
      <c r="H12" s="19" t="s">
        <v>432</v>
      </c>
      <c r="I12" s="19" t="s">
        <v>433</v>
      </c>
      <c r="J12" s="19" t="s">
        <v>18</v>
      </c>
      <c r="K12" s="19" t="s">
        <v>80</v>
      </c>
      <c r="L12" s="19" t="str">
        <f aca="false">IF(J12=K12,"一致","不一致")</f>
        <v>不一致</v>
      </c>
    </row>
    <row r="13" customFormat="false" ht="26.25" hidden="false" customHeight="true" outlineLevel="0" collapsed="false">
      <c r="A13" s="11" t="s">
        <v>45</v>
      </c>
      <c r="B13" s="19" t="s">
        <v>434</v>
      </c>
      <c r="C13" s="27" t="s">
        <v>18</v>
      </c>
      <c r="D13" s="19" t="s">
        <v>435</v>
      </c>
      <c r="E13" s="27" t="s">
        <v>18</v>
      </c>
      <c r="F13" s="19" t="s">
        <v>436</v>
      </c>
      <c r="G13" s="11" t="s">
        <v>20</v>
      </c>
      <c r="H13" s="19" t="s">
        <v>404</v>
      </c>
      <c r="I13" s="11" t="s">
        <v>437</v>
      </c>
      <c r="J13" s="19" t="s">
        <v>18</v>
      </c>
      <c r="K13" s="19" t="s">
        <v>18</v>
      </c>
      <c r="L13" s="19" t="str">
        <f aca="false">IF(J13=K13,"一致","不一致")</f>
        <v>一致</v>
      </c>
    </row>
    <row r="14" customFormat="false" ht="39" hidden="false" customHeight="true" outlineLevel="0" collapsed="false">
      <c r="A14" s="11" t="s">
        <v>97</v>
      </c>
      <c r="B14" s="19" t="s">
        <v>438</v>
      </c>
      <c r="C14" s="25" t="s">
        <v>80</v>
      </c>
      <c r="D14" s="19" t="s">
        <v>439</v>
      </c>
      <c r="E14" s="25" t="s">
        <v>80</v>
      </c>
      <c r="F14" s="11" t="s">
        <v>440</v>
      </c>
      <c r="G14" s="11" t="s">
        <v>20</v>
      </c>
      <c r="H14" s="11" t="s">
        <v>20</v>
      </c>
      <c r="I14" s="11" t="s">
        <v>441</v>
      </c>
      <c r="J14" s="19" t="s">
        <v>80</v>
      </c>
      <c r="K14" s="19" t="s">
        <v>80</v>
      </c>
      <c r="L14" s="19" t="str">
        <f aca="false">IF(J14=K14,"一致","不一致")</f>
        <v>一致</v>
      </c>
    </row>
    <row r="15" customFormat="false" ht="39" hidden="false" customHeight="true" outlineLevel="0" collapsed="false">
      <c r="A15" s="11" t="s">
        <v>99</v>
      </c>
      <c r="B15" s="19" t="s">
        <v>442</v>
      </c>
      <c r="C15" s="25" t="s">
        <v>429</v>
      </c>
      <c r="D15" s="19" t="s">
        <v>443</v>
      </c>
      <c r="E15" s="25" t="s">
        <v>429</v>
      </c>
      <c r="F15" s="19" t="s">
        <v>444</v>
      </c>
      <c r="G15" s="11" t="s">
        <v>20</v>
      </c>
      <c r="H15" s="11" t="s">
        <v>20</v>
      </c>
      <c r="I15" s="19" t="s">
        <v>445</v>
      </c>
      <c r="J15" s="19" t="s">
        <v>80</v>
      </c>
      <c r="K15" s="19" t="s">
        <v>80</v>
      </c>
      <c r="L15" s="19" t="str">
        <f aca="false">IF(J15=K15,"一致","不一致")</f>
        <v>一致</v>
      </c>
    </row>
    <row r="16" customFormat="false" ht="26.25" hidden="false" customHeight="true" outlineLevel="0" collapsed="false">
      <c r="A16" s="11" t="s">
        <v>46</v>
      </c>
      <c r="B16" s="19" t="s">
        <v>446</v>
      </c>
      <c r="C16" s="27" t="s">
        <v>18</v>
      </c>
      <c r="D16" s="11" t="s">
        <v>447</v>
      </c>
      <c r="E16" s="27" t="s">
        <v>18</v>
      </c>
      <c r="F16" s="19" t="s">
        <v>448</v>
      </c>
      <c r="G16" s="11" t="s">
        <v>20</v>
      </c>
      <c r="H16" s="19" t="s">
        <v>449</v>
      </c>
      <c r="I16" s="11" t="s">
        <v>450</v>
      </c>
      <c r="J16" s="19" t="s">
        <v>18</v>
      </c>
      <c r="K16" s="19" t="s">
        <v>18</v>
      </c>
      <c r="L16" s="19" t="str">
        <f aca="false">IF(J16=K16,"一致","不一致")</f>
        <v>一致</v>
      </c>
    </row>
    <row r="17" customFormat="false" ht="26.25" hidden="false" customHeight="true" outlineLevel="0" collapsed="false">
      <c r="A17" s="37" t="s">
        <v>451</v>
      </c>
      <c r="B17" s="19" t="s">
        <v>452</v>
      </c>
      <c r="C17" s="25" t="s">
        <v>80</v>
      </c>
      <c r="D17" s="11" t="s">
        <v>453</v>
      </c>
      <c r="E17" s="27" t="s">
        <v>454</v>
      </c>
      <c r="F17" s="19" t="s">
        <v>455</v>
      </c>
      <c r="G17" s="38" t="s">
        <v>456</v>
      </c>
      <c r="H17" s="11" t="s">
        <v>20</v>
      </c>
      <c r="I17" s="11" t="s">
        <v>457</v>
      </c>
      <c r="J17" s="19" t="s">
        <v>80</v>
      </c>
      <c r="K17" s="19" t="s">
        <v>18</v>
      </c>
      <c r="L17" s="19" t="str">
        <f aca="false">IF(J17=K17,"一致","不一致")</f>
        <v>不一致</v>
      </c>
    </row>
    <row r="18" customFormat="false" ht="26.25" hidden="false" customHeight="true" outlineLevel="0" collapsed="false">
      <c r="A18" s="11" t="s">
        <v>101</v>
      </c>
      <c r="B18" s="19" t="s">
        <v>458</v>
      </c>
      <c r="C18" s="27" t="s">
        <v>18</v>
      </c>
      <c r="D18" s="19" t="s">
        <v>459</v>
      </c>
      <c r="E18" s="27" t="s">
        <v>18</v>
      </c>
      <c r="F18" s="11" t="s">
        <v>460</v>
      </c>
      <c r="G18" s="11" t="s">
        <v>20</v>
      </c>
      <c r="H18" s="19" t="s">
        <v>404</v>
      </c>
      <c r="I18" s="11" t="s">
        <v>461</v>
      </c>
      <c r="J18" s="19" t="s">
        <v>18</v>
      </c>
      <c r="K18" s="19" t="s">
        <v>18</v>
      </c>
      <c r="L18" s="19" t="str">
        <f aca="false">IF(J18=K18,"一致","不一致")</f>
        <v>一致</v>
      </c>
    </row>
    <row r="19" customFormat="false" ht="39" hidden="false" customHeight="true" outlineLevel="0" collapsed="false">
      <c r="A19" s="11" t="s">
        <v>48</v>
      </c>
      <c r="B19" s="19" t="s">
        <v>397</v>
      </c>
      <c r="C19" s="27" t="s">
        <v>18</v>
      </c>
      <c r="D19" s="11" t="s">
        <v>462</v>
      </c>
      <c r="E19" s="27" t="s">
        <v>18</v>
      </c>
      <c r="F19" s="11" t="s">
        <v>463</v>
      </c>
      <c r="G19" s="11" t="s">
        <v>20</v>
      </c>
      <c r="H19" s="19" t="s">
        <v>464</v>
      </c>
      <c r="I19" s="11" t="s">
        <v>465</v>
      </c>
      <c r="J19" s="19" t="s">
        <v>18</v>
      </c>
      <c r="K19" s="19" t="s">
        <v>18</v>
      </c>
      <c r="L19" s="19" t="str">
        <f aca="false">IF(J19=K19,"一致","不一致")</f>
        <v>一致</v>
      </c>
    </row>
    <row r="20" customFormat="false" ht="26.25" hidden="false" customHeight="true" outlineLevel="0" collapsed="false">
      <c r="A20" s="11" t="s">
        <v>49</v>
      </c>
      <c r="B20" s="19" t="s">
        <v>466</v>
      </c>
      <c r="C20" s="27" t="s">
        <v>18</v>
      </c>
      <c r="D20" s="19" t="s">
        <v>467</v>
      </c>
      <c r="E20" s="27" t="s">
        <v>18</v>
      </c>
      <c r="F20" s="19" t="s">
        <v>468</v>
      </c>
      <c r="G20" s="11" t="s">
        <v>20</v>
      </c>
      <c r="H20" s="19" t="s">
        <v>404</v>
      </c>
      <c r="I20" s="11" t="s">
        <v>469</v>
      </c>
      <c r="J20" s="19" t="s">
        <v>18</v>
      </c>
      <c r="K20" s="19" t="s">
        <v>18</v>
      </c>
      <c r="L20" s="19" t="str">
        <f aca="false">IF(J20=K20,"一致","不一致")</f>
        <v>一致</v>
      </c>
    </row>
    <row r="21" customFormat="false" ht="26.25" hidden="false" customHeight="true" outlineLevel="0" collapsed="false">
      <c r="A21" s="11" t="s">
        <v>50</v>
      </c>
      <c r="B21" s="19" t="s">
        <v>470</v>
      </c>
      <c r="C21" s="27" t="s">
        <v>18</v>
      </c>
      <c r="D21" s="19" t="s">
        <v>471</v>
      </c>
      <c r="E21" s="27" t="s">
        <v>18</v>
      </c>
      <c r="F21" s="19" t="s">
        <v>472</v>
      </c>
      <c r="G21" s="11" t="s">
        <v>20</v>
      </c>
      <c r="H21" s="19" t="s">
        <v>473</v>
      </c>
      <c r="I21" s="11" t="s">
        <v>474</v>
      </c>
      <c r="J21" s="19" t="s">
        <v>18</v>
      </c>
      <c r="K21" s="19" t="s">
        <v>18</v>
      </c>
      <c r="L21" s="19" t="str">
        <f aca="false">IF(J21=K21,"一致","不一致")</f>
        <v>一致</v>
      </c>
    </row>
    <row r="22" customFormat="false" ht="39" hidden="false" customHeight="true" outlineLevel="0" collapsed="false">
      <c r="A22" s="11" t="s">
        <v>103</v>
      </c>
      <c r="B22" s="19" t="s">
        <v>402</v>
      </c>
      <c r="C22" s="25" t="s">
        <v>80</v>
      </c>
      <c r="D22" s="11" t="s">
        <v>475</v>
      </c>
      <c r="E22" s="25" t="s">
        <v>80</v>
      </c>
      <c r="F22" s="19" t="s">
        <v>476</v>
      </c>
      <c r="G22" s="11" t="s">
        <v>20</v>
      </c>
      <c r="H22" s="11" t="s">
        <v>20</v>
      </c>
      <c r="I22" s="11" t="s">
        <v>477</v>
      </c>
      <c r="J22" s="19" t="s">
        <v>80</v>
      </c>
      <c r="K22" s="19" t="s">
        <v>80</v>
      </c>
      <c r="L22" s="19" t="str">
        <f aca="false">IF(J22=K22,"一致","不一致")</f>
        <v>一致</v>
      </c>
    </row>
    <row r="23" customFormat="false" ht="26.25" hidden="false" customHeight="true" outlineLevel="0" collapsed="false">
      <c r="A23" s="11" t="s">
        <v>51</v>
      </c>
      <c r="B23" s="19" t="s">
        <v>402</v>
      </c>
      <c r="C23" s="27" t="s">
        <v>18</v>
      </c>
      <c r="D23" s="11" t="s">
        <v>478</v>
      </c>
      <c r="E23" s="27" t="s">
        <v>18</v>
      </c>
      <c r="F23" s="11" t="s">
        <v>479</v>
      </c>
      <c r="G23" s="11" t="s">
        <v>20</v>
      </c>
      <c r="H23" s="19" t="s">
        <v>404</v>
      </c>
      <c r="I23" s="11" t="s">
        <v>480</v>
      </c>
      <c r="J23" s="19" t="s">
        <v>18</v>
      </c>
      <c r="K23" s="19" t="s">
        <v>18</v>
      </c>
      <c r="L23" s="19" t="str">
        <f aca="false">IF(J23=K23,"一致","不一致")</f>
        <v>一致</v>
      </c>
    </row>
    <row r="24" customFormat="false" ht="26.25" hidden="false" customHeight="true" outlineLevel="0" collapsed="false">
      <c r="A24" s="11" t="s">
        <v>105</v>
      </c>
      <c r="B24" s="19" t="s">
        <v>481</v>
      </c>
      <c r="C24" s="25" t="s">
        <v>80</v>
      </c>
      <c r="D24" s="19" t="s">
        <v>482</v>
      </c>
      <c r="E24" s="25" t="s">
        <v>80</v>
      </c>
      <c r="F24" s="19" t="s">
        <v>483</v>
      </c>
      <c r="G24" s="11" t="s">
        <v>20</v>
      </c>
      <c r="H24" s="11" t="s">
        <v>20</v>
      </c>
      <c r="I24" s="11" t="s">
        <v>484</v>
      </c>
      <c r="J24" s="19" t="s">
        <v>80</v>
      </c>
      <c r="K24" s="19" t="s">
        <v>80</v>
      </c>
      <c r="L24" s="19" t="str">
        <f aca="false">IF(J24=K24,"一致","不一致")</f>
        <v>一致</v>
      </c>
    </row>
    <row r="25" customFormat="false" ht="39" hidden="false" customHeight="true" outlineLevel="0" collapsed="false">
      <c r="A25" s="37" t="s">
        <v>485</v>
      </c>
      <c r="B25" s="19" t="s">
        <v>397</v>
      </c>
      <c r="C25" s="22" t="s">
        <v>26</v>
      </c>
      <c r="D25" s="11" t="s">
        <v>20</v>
      </c>
      <c r="E25" s="27" t="s">
        <v>18</v>
      </c>
      <c r="F25" s="11" t="s">
        <v>486</v>
      </c>
      <c r="G25" s="38" t="s">
        <v>399</v>
      </c>
      <c r="H25" s="19" t="s">
        <v>487</v>
      </c>
      <c r="I25" s="11" t="s">
        <v>488</v>
      </c>
      <c r="J25" s="19" t="s">
        <v>26</v>
      </c>
      <c r="K25" s="19" t="s">
        <v>18</v>
      </c>
      <c r="L25" s="19" t="str">
        <f aca="false">IF(J25=K25,"一致","不一致")</f>
        <v>不一致</v>
      </c>
    </row>
    <row r="26" customFormat="false" ht="26.25" hidden="false" customHeight="true" outlineLevel="0" collapsed="false">
      <c r="A26" s="11" t="s">
        <v>53</v>
      </c>
      <c r="B26" s="19" t="s">
        <v>489</v>
      </c>
      <c r="C26" s="27" t="s">
        <v>18</v>
      </c>
      <c r="D26" s="11" t="s">
        <v>490</v>
      </c>
      <c r="E26" s="27" t="s">
        <v>18</v>
      </c>
      <c r="F26" s="11" t="s">
        <v>491</v>
      </c>
      <c r="G26" s="11" t="s">
        <v>20</v>
      </c>
      <c r="H26" s="19" t="s">
        <v>404</v>
      </c>
      <c r="I26" s="11" t="s">
        <v>492</v>
      </c>
      <c r="J26" s="19" t="s">
        <v>18</v>
      </c>
      <c r="K26" s="19" t="s">
        <v>18</v>
      </c>
      <c r="L26" s="19" t="str">
        <f aca="false">IF(J26=K26,"一致","不一致")</f>
        <v>一致</v>
      </c>
    </row>
    <row r="27" customFormat="false" ht="26.25" hidden="false" customHeight="true" outlineLevel="0" collapsed="false">
      <c r="A27" s="37" t="s">
        <v>493</v>
      </c>
      <c r="B27" s="11" t="s">
        <v>494</v>
      </c>
      <c r="C27" s="22" t="s">
        <v>26</v>
      </c>
      <c r="D27" s="11" t="s">
        <v>20</v>
      </c>
      <c r="E27" s="27" t="s">
        <v>18</v>
      </c>
      <c r="F27" s="11" t="s">
        <v>495</v>
      </c>
      <c r="G27" s="38" t="s">
        <v>399</v>
      </c>
      <c r="H27" s="19" t="s">
        <v>496</v>
      </c>
      <c r="I27" s="19" t="s">
        <v>497</v>
      </c>
      <c r="J27" s="19" t="s">
        <v>26</v>
      </c>
      <c r="K27" s="19" t="s">
        <v>18</v>
      </c>
      <c r="L27" s="19" t="str">
        <f aca="false">IF(J27=K27,"一致","不一致")</f>
        <v>不一致</v>
      </c>
    </row>
    <row r="28" customFormat="false" ht="39" hidden="false" customHeight="true" outlineLevel="0" collapsed="false">
      <c r="A28" s="11" t="s">
        <v>55</v>
      </c>
      <c r="B28" s="19" t="s">
        <v>498</v>
      </c>
      <c r="C28" s="22" t="s">
        <v>499</v>
      </c>
      <c r="D28" s="19" t="s">
        <v>500</v>
      </c>
      <c r="E28" s="22" t="s">
        <v>501</v>
      </c>
      <c r="F28" s="19" t="s">
        <v>502</v>
      </c>
      <c r="G28" s="11" t="s">
        <v>20</v>
      </c>
      <c r="H28" s="19" t="s">
        <v>503</v>
      </c>
      <c r="I28" s="11" t="s">
        <v>504</v>
      </c>
      <c r="J28" s="19" t="s">
        <v>26</v>
      </c>
      <c r="K28" s="19" t="s">
        <v>26</v>
      </c>
      <c r="L28" s="19" t="str">
        <f aca="false">IF(J28=K28,"一致","不一致")</f>
        <v>一致</v>
      </c>
    </row>
    <row r="29" customFormat="false" ht="26.25" hidden="false" customHeight="true" outlineLevel="0" collapsed="false">
      <c r="A29" s="11" t="s">
        <v>107</v>
      </c>
      <c r="B29" s="19" t="s">
        <v>505</v>
      </c>
      <c r="C29" s="25" t="s">
        <v>80</v>
      </c>
      <c r="D29" s="19" t="s">
        <v>506</v>
      </c>
      <c r="E29" s="25" t="s">
        <v>80</v>
      </c>
      <c r="F29" s="19" t="s">
        <v>507</v>
      </c>
      <c r="G29" s="11" t="s">
        <v>20</v>
      </c>
      <c r="H29" s="11" t="s">
        <v>20</v>
      </c>
      <c r="I29" s="11" t="s">
        <v>508</v>
      </c>
      <c r="J29" s="19" t="s">
        <v>80</v>
      </c>
      <c r="K29" s="19" t="s">
        <v>80</v>
      </c>
      <c r="L29" s="19" t="str">
        <f aca="false">IF(J29=K29,"一致","不一致")</f>
        <v>一致</v>
      </c>
    </row>
    <row r="30" customFormat="false" ht="26.25" hidden="false" customHeight="true" outlineLevel="0" collapsed="false">
      <c r="A30" s="37" t="s">
        <v>509</v>
      </c>
      <c r="B30" s="19" t="s">
        <v>510</v>
      </c>
      <c r="C30" s="22" t="s">
        <v>511</v>
      </c>
      <c r="D30" s="11" t="s">
        <v>20</v>
      </c>
      <c r="E30" s="27" t="s">
        <v>18</v>
      </c>
      <c r="F30" s="19" t="s">
        <v>512</v>
      </c>
      <c r="G30" s="38" t="s">
        <v>399</v>
      </c>
      <c r="H30" s="19" t="s">
        <v>513</v>
      </c>
      <c r="I30" s="19" t="s">
        <v>514</v>
      </c>
      <c r="J30" s="19" t="s">
        <v>26</v>
      </c>
      <c r="K30" s="19" t="s">
        <v>18</v>
      </c>
      <c r="L30" s="19" t="str">
        <f aca="false">IF(J30=K30,"一致","不一致")</f>
        <v>不一致</v>
      </c>
    </row>
    <row r="31" customFormat="false" ht="26.25" hidden="false" customHeight="true" outlineLevel="0" collapsed="false">
      <c r="A31" s="11" t="s">
        <v>111</v>
      </c>
      <c r="B31" s="19" t="s">
        <v>515</v>
      </c>
      <c r="C31" s="27" t="s">
        <v>18</v>
      </c>
      <c r="D31" s="11" t="s">
        <v>516</v>
      </c>
      <c r="E31" s="27" t="s">
        <v>18</v>
      </c>
      <c r="F31" s="19" t="s">
        <v>414</v>
      </c>
      <c r="G31" s="11" t="s">
        <v>20</v>
      </c>
      <c r="H31" s="19" t="s">
        <v>517</v>
      </c>
      <c r="I31" s="19" t="s">
        <v>518</v>
      </c>
      <c r="J31" s="19" t="s">
        <v>18</v>
      </c>
      <c r="K31" s="19" t="s">
        <v>18</v>
      </c>
      <c r="L31" s="19" t="str">
        <f aca="false">IF(J31=K31,"一致","不一致")</f>
        <v>一致</v>
      </c>
    </row>
    <row r="32" customFormat="false" ht="39" hidden="false" customHeight="true" outlineLevel="0" collapsed="false">
      <c r="A32" s="11" t="s">
        <v>113</v>
      </c>
      <c r="B32" s="19" t="s">
        <v>402</v>
      </c>
      <c r="C32" s="25" t="s">
        <v>80</v>
      </c>
      <c r="D32" s="11" t="s">
        <v>519</v>
      </c>
      <c r="E32" s="25" t="s">
        <v>80</v>
      </c>
      <c r="F32" s="19" t="s">
        <v>520</v>
      </c>
      <c r="G32" s="11" t="s">
        <v>20</v>
      </c>
      <c r="H32" s="11" t="s">
        <v>20</v>
      </c>
      <c r="I32" s="11" t="s">
        <v>521</v>
      </c>
      <c r="J32" s="19" t="s">
        <v>80</v>
      </c>
      <c r="K32" s="19" t="s">
        <v>80</v>
      </c>
      <c r="L32" s="19" t="str">
        <f aca="false">IF(J32=K32,"一致","不一致")</f>
        <v>一致</v>
      </c>
    </row>
    <row r="33" customFormat="false" ht="26.25" hidden="false" customHeight="true" outlineLevel="0" collapsed="false">
      <c r="A33" s="11" t="s">
        <v>56</v>
      </c>
      <c r="B33" s="19" t="s">
        <v>522</v>
      </c>
      <c r="C33" s="22" t="s">
        <v>523</v>
      </c>
      <c r="D33" s="19" t="s">
        <v>524</v>
      </c>
      <c r="E33" s="22" t="s">
        <v>525</v>
      </c>
      <c r="F33" s="19" t="s">
        <v>526</v>
      </c>
      <c r="G33" s="11" t="s">
        <v>20</v>
      </c>
      <c r="H33" s="19" t="s">
        <v>527</v>
      </c>
      <c r="I33" s="11" t="s">
        <v>528</v>
      </c>
      <c r="J33" s="19" t="s">
        <v>26</v>
      </c>
      <c r="K33" s="19" t="s">
        <v>26</v>
      </c>
      <c r="L33" s="19" t="str">
        <f aca="false">IF(J33=K33,"一致","不一致")</f>
        <v>一致</v>
      </c>
    </row>
    <row r="34" customFormat="false" ht="26.25" hidden="false" customHeight="true" outlineLevel="0" collapsed="false">
      <c r="A34" s="11" t="s">
        <v>57</v>
      </c>
      <c r="B34" s="19" t="s">
        <v>529</v>
      </c>
      <c r="C34" s="27" t="s">
        <v>18</v>
      </c>
      <c r="D34" s="11" t="s">
        <v>530</v>
      </c>
      <c r="E34" s="27" t="s">
        <v>18</v>
      </c>
      <c r="F34" s="19" t="s">
        <v>436</v>
      </c>
      <c r="G34" s="11" t="s">
        <v>20</v>
      </c>
      <c r="H34" s="19" t="s">
        <v>404</v>
      </c>
      <c r="I34" s="19" t="s">
        <v>531</v>
      </c>
      <c r="J34" s="19" t="s">
        <v>18</v>
      </c>
      <c r="K34" s="19" t="s">
        <v>18</v>
      </c>
      <c r="L34" s="19" t="str">
        <f aca="false">IF(J34=K34,"一致","不一致")</f>
        <v>一致</v>
      </c>
    </row>
    <row r="35" customFormat="false" ht="37.5" hidden="false" customHeight="true" outlineLevel="0" collapsed="false">
      <c r="A35" s="37" t="s">
        <v>532</v>
      </c>
      <c r="B35" s="19" t="s">
        <v>533</v>
      </c>
      <c r="C35" s="22" t="s">
        <v>534</v>
      </c>
      <c r="D35" s="11" t="s">
        <v>535</v>
      </c>
      <c r="E35" s="27" t="s">
        <v>18</v>
      </c>
      <c r="F35" s="19" t="s">
        <v>536</v>
      </c>
      <c r="G35" s="38" t="s">
        <v>537</v>
      </c>
      <c r="H35" s="19" t="s">
        <v>404</v>
      </c>
      <c r="I35" s="19" t="s">
        <v>538</v>
      </c>
      <c r="J35" s="19" t="s">
        <v>26</v>
      </c>
      <c r="K35" s="19" t="s">
        <v>18</v>
      </c>
      <c r="L35" s="19" t="str">
        <f aca="false">IF(J35=K35,"一致","不一致")</f>
        <v>不一致</v>
      </c>
    </row>
    <row r="36" customFormat="false" ht="39" hidden="false" customHeight="true" outlineLevel="0" collapsed="false">
      <c r="A36" s="11" t="s">
        <v>115</v>
      </c>
      <c r="B36" s="19" t="s">
        <v>402</v>
      </c>
      <c r="C36" s="25" t="s">
        <v>429</v>
      </c>
      <c r="D36" s="11" t="s">
        <v>539</v>
      </c>
      <c r="E36" s="25" t="s">
        <v>429</v>
      </c>
      <c r="F36" s="19" t="s">
        <v>520</v>
      </c>
      <c r="G36" s="11" t="s">
        <v>20</v>
      </c>
      <c r="H36" s="11" t="s">
        <v>20</v>
      </c>
      <c r="I36" s="11" t="s">
        <v>540</v>
      </c>
      <c r="J36" s="19" t="s">
        <v>80</v>
      </c>
      <c r="K36" s="19" t="s">
        <v>80</v>
      </c>
      <c r="L36" s="19" t="str">
        <f aca="false">IF(J36=K36,"一致","不一致")</f>
        <v>一致</v>
      </c>
    </row>
    <row r="37" customFormat="false" ht="26.25" hidden="false" customHeight="true" outlineLevel="0" collapsed="false">
      <c r="A37" s="11" t="s">
        <v>59</v>
      </c>
      <c r="B37" s="19" t="s">
        <v>541</v>
      </c>
      <c r="C37" s="27" t="s">
        <v>18</v>
      </c>
      <c r="D37" s="19" t="s">
        <v>542</v>
      </c>
      <c r="E37" s="27" t="s">
        <v>18</v>
      </c>
      <c r="F37" s="19" t="s">
        <v>543</v>
      </c>
      <c r="G37" s="11" t="s">
        <v>20</v>
      </c>
      <c r="H37" s="19" t="s">
        <v>544</v>
      </c>
      <c r="I37" s="11" t="s">
        <v>545</v>
      </c>
      <c r="J37" s="19" t="s">
        <v>18</v>
      </c>
      <c r="K37" s="19" t="s">
        <v>18</v>
      </c>
      <c r="L37" s="19" t="str">
        <f aca="false">IF(J37=K37,"一致","不一致")</f>
        <v>一致</v>
      </c>
    </row>
    <row r="38" customFormat="false" ht="26.25" hidden="false" customHeight="true" outlineLevel="0" collapsed="false">
      <c r="A38" s="37" t="s">
        <v>546</v>
      </c>
      <c r="B38" s="19" t="s">
        <v>547</v>
      </c>
      <c r="C38" s="22" t="s">
        <v>26</v>
      </c>
      <c r="D38" s="11" t="s">
        <v>20</v>
      </c>
      <c r="E38" s="27" t="s">
        <v>18</v>
      </c>
      <c r="F38" s="19" t="s">
        <v>548</v>
      </c>
      <c r="G38" s="38" t="s">
        <v>399</v>
      </c>
      <c r="H38" s="19" t="s">
        <v>549</v>
      </c>
      <c r="I38" s="11" t="s">
        <v>550</v>
      </c>
      <c r="J38" s="19" t="s">
        <v>26</v>
      </c>
      <c r="K38" s="19" t="s">
        <v>18</v>
      </c>
      <c r="L38" s="19" t="str">
        <f aca="false">IF(J38=K38,"一致","不一致")</f>
        <v>不一致</v>
      </c>
    </row>
    <row r="39" customFormat="false" ht="39" hidden="false" customHeight="true" outlineLevel="0" collapsed="false">
      <c r="A39" s="11" t="s">
        <v>116</v>
      </c>
      <c r="B39" s="19" t="s">
        <v>551</v>
      </c>
      <c r="C39" s="25" t="s">
        <v>80</v>
      </c>
      <c r="D39" s="19" t="s">
        <v>552</v>
      </c>
      <c r="E39" s="25" t="s">
        <v>80</v>
      </c>
      <c r="F39" s="19" t="s">
        <v>553</v>
      </c>
      <c r="G39" s="11" t="s">
        <v>20</v>
      </c>
      <c r="H39" s="11" t="s">
        <v>20</v>
      </c>
      <c r="I39" s="11" t="s">
        <v>554</v>
      </c>
      <c r="J39" s="19" t="s">
        <v>80</v>
      </c>
      <c r="K39" s="19" t="s">
        <v>80</v>
      </c>
      <c r="L39" s="19" t="str">
        <f aca="false">IF(J39=K39,"一致","不一致")</f>
        <v>一致</v>
      </c>
    </row>
    <row r="40" customFormat="false" ht="26.25" hidden="false" customHeight="true" outlineLevel="0" collapsed="false">
      <c r="A40" s="11" t="s">
        <v>61</v>
      </c>
      <c r="B40" s="19" t="s">
        <v>555</v>
      </c>
      <c r="C40" s="27" t="s">
        <v>556</v>
      </c>
      <c r="D40" s="11" t="s">
        <v>557</v>
      </c>
      <c r="E40" s="27" t="s">
        <v>556</v>
      </c>
      <c r="F40" s="11" t="s">
        <v>558</v>
      </c>
      <c r="G40" s="11" t="s">
        <v>20</v>
      </c>
      <c r="H40" s="19" t="s">
        <v>559</v>
      </c>
      <c r="I40" s="11" t="s">
        <v>560</v>
      </c>
      <c r="J40" s="19" t="s">
        <v>18</v>
      </c>
      <c r="K40" s="19" t="s">
        <v>18</v>
      </c>
      <c r="L40" s="19" t="str">
        <f aca="false">IF(J40=K40,"一致","不一致")</f>
        <v>一致</v>
      </c>
    </row>
    <row r="41" customFormat="false" ht="26.25" hidden="false" customHeight="true" outlineLevel="0" collapsed="false">
      <c r="A41" s="37" t="s">
        <v>561</v>
      </c>
      <c r="B41" s="19" t="s">
        <v>562</v>
      </c>
      <c r="C41" s="22" t="s">
        <v>26</v>
      </c>
      <c r="D41" s="11" t="s">
        <v>20</v>
      </c>
      <c r="E41" s="27" t="s">
        <v>18</v>
      </c>
      <c r="F41" s="11" t="s">
        <v>563</v>
      </c>
      <c r="G41" s="38" t="s">
        <v>399</v>
      </c>
      <c r="H41" s="19" t="s">
        <v>564</v>
      </c>
      <c r="I41" s="11" t="s">
        <v>565</v>
      </c>
      <c r="J41" s="19" t="s">
        <v>26</v>
      </c>
      <c r="K41" s="19" t="s">
        <v>18</v>
      </c>
      <c r="L41" s="19" t="str">
        <f aca="false">IF(J41=K41,"一致","不一致")</f>
        <v>不一致</v>
      </c>
    </row>
    <row r="42" customFormat="false" ht="39" hidden="false" customHeight="true" outlineLevel="0" collapsed="false">
      <c r="A42" s="11" t="s">
        <v>63</v>
      </c>
      <c r="B42" s="19" t="s">
        <v>397</v>
      </c>
      <c r="C42" s="22" t="s">
        <v>26</v>
      </c>
      <c r="D42" s="11" t="s">
        <v>566</v>
      </c>
      <c r="E42" s="22" t="s">
        <v>567</v>
      </c>
      <c r="F42" s="19" t="s">
        <v>568</v>
      </c>
      <c r="G42" s="11" t="s">
        <v>20</v>
      </c>
      <c r="H42" s="19" t="s">
        <v>569</v>
      </c>
      <c r="I42" s="11" t="s">
        <v>570</v>
      </c>
      <c r="J42" s="19" t="s">
        <v>26</v>
      </c>
      <c r="K42" s="19" t="s">
        <v>26</v>
      </c>
      <c r="L42" s="19" t="str">
        <f aca="false">IF(J42=K42,"一致","不一致")</f>
        <v>一致</v>
      </c>
    </row>
    <row r="43" customFormat="false" ht="26.25" hidden="false" customHeight="true" outlineLevel="0" collapsed="false">
      <c r="A43" s="11" t="s">
        <v>118</v>
      </c>
      <c r="B43" s="19" t="s">
        <v>571</v>
      </c>
      <c r="C43" s="25" t="s">
        <v>80</v>
      </c>
      <c r="D43" s="19" t="s">
        <v>572</v>
      </c>
      <c r="E43" s="25" t="s">
        <v>80</v>
      </c>
      <c r="F43" s="19" t="s">
        <v>573</v>
      </c>
      <c r="G43" s="11" t="s">
        <v>20</v>
      </c>
      <c r="H43" s="11" t="s">
        <v>20</v>
      </c>
      <c r="I43" s="11" t="s">
        <v>574</v>
      </c>
      <c r="J43" s="19" t="s">
        <v>80</v>
      </c>
      <c r="K43" s="19" t="s">
        <v>80</v>
      </c>
      <c r="L43" s="19" t="str">
        <f aca="false">IF(J43=K43,"一致","不一致")</f>
        <v>一致</v>
      </c>
    </row>
    <row r="44" customFormat="false" ht="26.25" hidden="false" customHeight="true" outlineLevel="0" collapsed="false">
      <c r="A44" s="37" t="s">
        <v>575</v>
      </c>
      <c r="B44" s="19" t="s">
        <v>576</v>
      </c>
      <c r="C44" s="27" t="s">
        <v>18</v>
      </c>
      <c r="D44" s="19" t="s">
        <v>577</v>
      </c>
      <c r="E44" s="22" t="s">
        <v>501</v>
      </c>
      <c r="F44" s="19" t="s">
        <v>578</v>
      </c>
      <c r="G44" s="38" t="s">
        <v>579</v>
      </c>
      <c r="H44" s="19" t="s">
        <v>580</v>
      </c>
      <c r="I44" s="19" t="s">
        <v>581</v>
      </c>
      <c r="J44" s="19" t="s">
        <v>18</v>
      </c>
      <c r="K44" s="19" t="s">
        <v>26</v>
      </c>
      <c r="L44" s="19" t="str">
        <f aca="false">IF(J44=K44,"一致","不一致")</f>
        <v>不一致</v>
      </c>
    </row>
    <row r="45" customFormat="false" ht="39" hidden="false" customHeight="true" outlineLevel="0" collapsed="false">
      <c r="A45" s="19" t="s">
        <v>582</v>
      </c>
      <c r="B45" s="19" t="s">
        <v>583</v>
      </c>
      <c r="C45" s="27" t="s">
        <v>18</v>
      </c>
      <c r="D45" s="19" t="s">
        <v>584</v>
      </c>
      <c r="E45" s="27" t="s">
        <v>18</v>
      </c>
      <c r="F45" s="19" t="s">
        <v>585</v>
      </c>
      <c r="G45" s="11" t="s">
        <v>20</v>
      </c>
      <c r="H45" s="19" t="s">
        <v>586</v>
      </c>
      <c r="I45" s="11" t="s">
        <v>587</v>
      </c>
      <c r="J45" s="19" t="s">
        <v>18</v>
      </c>
      <c r="K45" s="19" t="s">
        <v>18</v>
      </c>
      <c r="L45" s="19" t="str">
        <f aca="false">IF(J45=K45,"一致","不一致")</f>
        <v>一致</v>
      </c>
    </row>
    <row r="46" customFormat="false" ht="39" hidden="false" customHeight="true" outlineLevel="0" collapsed="false">
      <c r="A46" s="19" t="s">
        <v>588</v>
      </c>
      <c r="B46" s="19" t="s">
        <v>589</v>
      </c>
      <c r="C46" s="27" t="s">
        <v>18</v>
      </c>
      <c r="D46" s="19" t="s">
        <v>590</v>
      </c>
      <c r="E46" s="27" t="s">
        <v>18</v>
      </c>
      <c r="F46" s="19" t="s">
        <v>591</v>
      </c>
      <c r="G46" s="11" t="s">
        <v>20</v>
      </c>
      <c r="H46" s="19" t="s">
        <v>404</v>
      </c>
      <c r="I46" s="11" t="s">
        <v>592</v>
      </c>
      <c r="J46" s="19" t="s">
        <v>18</v>
      </c>
      <c r="K46" s="19" t="s">
        <v>18</v>
      </c>
      <c r="L46" s="19"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8"/>
    <col collapsed="false" customWidth="true" hidden="false" outlineLevel="0" max="3" min="3" style="14" width="22"/>
    <col collapsed="false" customWidth="true" hidden="false" outlineLevel="0" max="4" min="4" style="14" width="44"/>
    <col collapsed="false" customWidth="true" hidden="false" outlineLevel="0" max="5" min="5" style="14" width="22"/>
    <col collapsed="false" customWidth="true" hidden="false" outlineLevel="0" max="6" min="6" style="14" width="36"/>
    <col collapsed="false" customWidth="true" hidden="false" outlineLevel="0" max="7" min="7" style="14" width="18"/>
    <col collapsed="false" customWidth="true" hidden="false" outlineLevel="0" max="8" min="8" style="14" width="40"/>
    <col collapsed="false" customWidth="true" hidden="false" outlineLevel="0" max="10" min="9" style="14" width="12"/>
  </cols>
  <sheetData>
    <row r="1" customFormat="false" ht="30" hidden="false" customHeight="true" outlineLevel="0" collapsed="false">
      <c r="A1" s="18" t="s">
        <v>369</v>
      </c>
      <c r="B1" s="18" t="s">
        <v>11</v>
      </c>
      <c r="C1" s="9" t="s">
        <v>370</v>
      </c>
      <c r="D1" s="9" t="s">
        <v>371</v>
      </c>
      <c r="E1" s="9" t="s">
        <v>372</v>
      </c>
      <c r="F1" s="9" t="s">
        <v>373</v>
      </c>
      <c r="G1" s="18" t="s">
        <v>374</v>
      </c>
      <c r="H1" s="18" t="s">
        <v>276</v>
      </c>
      <c r="I1" s="18" t="s">
        <v>593</v>
      </c>
      <c r="J1" s="18" t="s">
        <v>594</v>
      </c>
    </row>
    <row r="2" customFormat="false" ht="39" hidden="false" customHeight="true" outlineLevel="0" collapsed="false">
      <c r="A2" s="11" t="s">
        <v>68</v>
      </c>
      <c r="B2" s="19" t="s">
        <v>595</v>
      </c>
      <c r="C2" s="19" t="s">
        <v>26</v>
      </c>
      <c r="D2" s="11" t="s">
        <v>20</v>
      </c>
      <c r="E2" s="19" t="s">
        <v>26</v>
      </c>
      <c r="F2" s="11" t="s">
        <v>20</v>
      </c>
      <c r="G2" s="11" t="s">
        <v>20</v>
      </c>
      <c r="H2" s="19" t="s">
        <v>596</v>
      </c>
      <c r="I2" s="22" t="s">
        <v>26</v>
      </c>
      <c r="J2" s="22" t="s">
        <v>26</v>
      </c>
    </row>
    <row r="3" customFormat="false" ht="39" hidden="false" customHeight="true" outlineLevel="0" collapsed="false">
      <c r="A3" s="11" t="s">
        <v>126</v>
      </c>
      <c r="B3" s="19" t="s">
        <v>597</v>
      </c>
      <c r="C3" s="19" t="s">
        <v>598</v>
      </c>
      <c r="D3" s="19" t="s">
        <v>599</v>
      </c>
      <c r="E3" s="19" t="s">
        <v>600</v>
      </c>
      <c r="F3" s="19" t="s">
        <v>543</v>
      </c>
      <c r="G3" s="11" t="s">
        <v>20</v>
      </c>
      <c r="H3" s="19" t="s">
        <v>601</v>
      </c>
      <c r="I3" s="22" t="s">
        <v>26</v>
      </c>
      <c r="J3" s="25" t="s">
        <v>80</v>
      </c>
    </row>
    <row r="4" customFormat="false" ht="39" hidden="false" customHeight="true" outlineLevel="0" collapsed="false">
      <c r="A4" s="11" t="s">
        <v>128</v>
      </c>
      <c r="B4" s="19" t="s">
        <v>602</v>
      </c>
      <c r="C4" s="19" t="s">
        <v>80</v>
      </c>
      <c r="D4" s="19" t="s">
        <v>603</v>
      </c>
      <c r="E4" s="19" t="s">
        <v>80</v>
      </c>
      <c r="F4" s="19" t="s">
        <v>543</v>
      </c>
      <c r="G4" s="11" t="s">
        <v>20</v>
      </c>
      <c r="H4" s="11" t="s">
        <v>20</v>
      </c>
      <c r="I4" s="25" t="s">
        <v>80</v>
      </c>
      <c r="J4" s="25" t="s">
        <v>80</v>
      </c>
    </row>
    <row r="5" customFormat="false" ht="39" hidden="false" customHeight="true" outlineLevel="0" collapsed="false">
      <c r="A5" s="11" t="s">
        <v>130</v>
      </c>
      <c r="B5" s="19" t="s">
        <v>604</v>
      </c>
      <c r="C5" s="19" t="s">
        <v>80</v>
      </c>
      <c r="D5" s="11" t="s">
        <v>605</v>
      </c>
      <c r="E5" s="19" t="s">
        <v>80</v>
      </c>
      <c r="F5" s="19" t="s">
        <v>606</v>
      </c>
      <c r="G5" s="11" t="s">
        <v>20</v>
      </c>
      <c r="H5" s="19" t="s">
        <v>607</v>
      </c>
      <c r="I5" s="25" t="s">
        <v>80</v>
      </c>
      <c r="J5" s="25" t="s">
        <v>80</v>
      </c>
    </row>
    <row r="6" customFormat="false" ht="26.25" hidden="false" customHeight="true" outlineLevel="0" collapsed="false">
      <c r="A6" s="11" t="s">
        <v>132</v>
      </c>
      <c r="B6" s="19" t="s">
        <v>608</v>
      </c>
      <c r="C6" s="19" t="s">
        <v>80</v>
      </c>
      <c r="D6" s="19" t="s">
        <v>609</v>
      </c>
      <c r="E6" s="19" t="s">
        <v>80</v>
      </c>
      <c r="F6" s="19" t="s">
        <v>543</v>
      </c>
      <c r="G6" s="11" t="s">
        <v>20</v>
      </c>
      <c r="H6" s="11" t="s">
        <v>20</v>
      </c>
      <c r="I6" s="25" t="s">
        <v>80</v>
      </c>
      <c r="J6" s="25" t="s">
        <v>80</v>
      </c>
    </row>
    <row r="7" customFormat="false" ht="51.75" hidden="false" customHeight="true" outlineLevel="0" collapsed="false">
      <c r="A7" s="11" t="s">
        <v>133</v>
      </c>
      <c r="B7" s="19" t="s">
        <v>610</v>
      </c>
      <c r="C7" s="19" t="s">
        <v>611</v>
      </c>
      <c r="D7" s="19" t="s">
        <v>612</v>
      </c>
      <c r="E7" s="19" t="s">
        <v>613</v>
      </c>
      <c r="F7" s="19" t="s">
        <v>543</v>
      </c>
      <c r="G7" s="11" t="s">
        <v>20</v>
      </c>
      <c r="H7" s="19" t="s">
        <v>614</v>
      </c>
      <c r="I7" s="22" t="s">
        <v>26</v>
      </c>
      <c r="J7" s="27" t="s">
        <v>18</v>
      </c>
    </row>
    <row r="8" customFormat="false" ht="26.25" hidden="false" customHeight="true" outlineLevel="0" collapsed="false">
      <c r="A8" s="11" t="s">
        <v>135</v>
      </c>
      <c r="B8" s="19" t="s">
        <v>615</v>
      </c>
      <c r="C8" s="19" t="s">
        <v>501</v>
      </c>
      <c r="D8" s="19" t="s">
        <v>616</v>
      </c>
      <c r="E8" s="19" t="s">
        <v>501</v>
      </c>
      <c r="F8" s="19" t="s">
        <v>543</v>
      </c>
      <c r="G8" s="11" t="s">
        <v>20</v>
      </c>
      <c r="H8" s="19" t="s">
        <v>617</v>
      </c>
      <c r="I8" s="22" t="s">
        <v>26</v>
      </c>
      <c r="J8" s="22" t="s">
        <v>26</v>
      </c>
    </row>
    <row r="9" customFormat="false" ht="39" hidden="false" customHeight="true" outlineLevel="0" collapsed="false">
      <c r="A9" s="11" t="s">
        <v>69</v>
      </c>
      <c r="B9" s="11" t="s">
        <v>618</v>
      </c>
      <c r="C9" s="19" t="s">
        <v>26</v>
      </c>
      <c r="D9" s="19" t="s">
        <v>619</v>
      </c>
      <c r="E9" s="19" t="s">
        <v>26</v>
      </c>
      <c r="F9" s="11" t="s">
        <v>20</v>
      </c>
      <c r="G9" s="11" t="s">
        <v>20</v>
      </c>
      <c r="H9" s="19" t="s">
        <v>620</v>
      </c>
      <c r="I9" s="22" t="s">
        <v>26</v>
      </c>
      <c r="J9" s="22" t="s">
        <v>26</v>
      </c>
    </row>
    <row r="10" customFormat="false" ht="39" hidden="false" customHeight="true" outlineLevel="0" collapsed="false">
      <c r="A10" s="19" t="s">
        <v>621</v>
      </c>
      <c r="B10" s="19" t="s">
        <v>622</v>
      </c>
      <c r="C10" s="19" t="s">
        <v>501</v>
      </c>
      <c r="D10" s="19" t="s">
        <v>623</v>
      </c>
      <c r="E10" s="19" t="s">
        <v>501</v>
      </c>
      <c r="F10" s="19" t="s">
        <v>543</v>
      </c>
      <c r="G10" s="11" t="s">
        <v>20</v>
      </c>
      <c r="H10" s="19" t="s">
        <v>624</v>
      </c>
      <c r="I10" s="22" t="s">
        <v>26</v>
      </c>
      <c r="J10" s="22" t="s">
        <v>26</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0"/>
    <col collapsed="false" customWidth="true" hidden="false" outlineLevel="0" max="2" min="2" style="14" width="26"/>
    <col collapsed="false" customWidth="true" hidden="false" outlineLevel="0" max="3" min="3" style="14" width="16"/>
    <col collapsed="false" customWidth="true" hidden="false" outlineLevel="0" max="4" min="4" style="14" width="40"/>
    <col collapsed="false" customWidth="true" hidden="false" outlineLevel="0" max="5" min="5" style="14" width="16"/>
    <col collapsed="false" customWidth="true" hidden="false" outlineLevel="0" max="6" min="6" style="14" width="40"/>
    <col collapsed="false" customWidth="true" hidden="false" outlineLevel="0" max="7" min="7" style="14" width="22"/>
    <col collapsed="false" customWidth="true" hidden="false" outlineLevel="0" max="8" min="8" style="14" width="26"/>
    <col collapsed="false" customWidth="true" hidden="false" outlineLevel="0" max="9" min="9" style="14" width="36"/>
    <col collapsed="false" customWidth="true" hidden="false" outlineLevel="0" max="10" min="10" style="14" width="12"/>
    <col collapsed="false" customWidth="true" hidden="false" outlineLevel="0" max="12" min="11" style="14" width="9"/>
    <col collapsed="false" customWidth="true" hidden="false" outlineLevel="0" max="13" min="13" style="14" width="10"/>
  </cols>
  <sheetData>
    <row r="1" customFormat="false" ht="30" hidden="false" customHeight="true" outlineLevel="0" collapsed="false">
      <c r="A1" s="18" t="s">
        <v>369</v>
      </c>
      <c r="B1" s="18" t="s">
        <v>11</v>
      </c>
      <c r="C1" s="9" t="s">
        <v>370</v>
      </c>
      <c r="D1" s="9" t="s">
        <v>371</v>
      </c>
      <c r="E1" s="9" t="s">
        <v>372</v>
      </c>
      <c r="F1" s="9" t="s">
        <v>373</v>
      </c>
      <c r="G1" s="18" t="s">
        <v>374</v>
      </c>
      <c r="H1" s="9" t="s">
        <v>375</v>
      </c>
      <c r="I1" s="18" t="s">
        <v>276</v>
      </c>
      <c r="J1" s="9" t="s">
        <v>625</v>
      </c>
      <c r="K1" s="9" t="s">
        <v>376</v>
      </c>
      <c r="L1" s="9" t="s">
        <v>377</v>
      </c>
      <c r="M1" s="18" t="s">
        <v>378</v>
      </c>
    </row>
    <row r="2" customFormat="false" ht="26.25" hidden="false" customHeight="true" outlineLevel="0" collapsed="false">
      <c r="A2" s="11" t="s">
        <v>17</v>
      </c>
      <c r="B2" s="19" t="s">
        <v>626</v>
      </c>
      <c r="C2" s="27" t="s">
        <v>18</v>
      </c>
      <c r="D2" s="19" t="s">
        <v>627</v>
      </c>
      <c r="E2" s="27" t="s">
        <v>18</v>
      </c>
      <c r="F2" s="19" t="s">
        <v>628</v>
      </c>
      <c r="G2" s="11" t="s">
        <v>20</v>
      </c>
      <c r="H2" s="19" t="s">
        <v>404</v>
      </c>
      <c r="I2" s="11" t="s">
        <v>629</v>
      </c>
      <c r="J2" s="19" t="s">
        <v>630</v>
      </c>
      <c r="K2" s="19" t="s">
        <v>18</v>
      </c>
      <c r="L2" s="19" t="s">
        <v>18</v>
      </c>
      <c r="M2" s="19" t="str">
        <f aca="false">IF(K2=L2,"一致","不一致")</f>
        <v>一致</v>
      </c>
    </row>
    <row r="3" customFormat="false" ht="26.25" hidden="false" customHeight="true" outlineLevel="0" collapsed="false">
      <c r="A3" s="11" t="s">
        <v>21</v>
      </c>
      <c r="B3" s="19" t="s">
        <v>631</v>
      </c>
      <c r="C3" s="27" t="s">
        <v>632</v>
      </c>
      <c r="D3" s="11" t="s">
        <v>633</v>
      </c>
      <c r="E3" s="27" t="s">
        <v>632</v>
      </c>
      <c r="F3" s="11" t="s">
        <v>634</v>
      </c>
      <c r="G3" s="11" t="s">
        <v>20</v>
      </c>
      <c r="H3" s="19" t="s">
        <v>635</v>
      </c>
      <c r="I3" s="11" t="s">
        <v>636</v>
      </c>
      <c r="J3" s="19" t="s">
        <v>630</v>
      </c>
      <c r="K3" s="19" t="s">
        <v>18</v>
      </c>
      <c r="L3" s="19" t="s">
        <v>18</v>
      </c>
      <c r="M3" s="19" t="str">
        <f aca="false">IF(K3=L3,"一致","不一致")</f>
        <v>一致</v>
      </c>
    </row>
    <row r="4" customFormat="false" ht="39" hidden="false" customHeight="true" outlineLevel="0" collapsed="false">
      <c r="A4" s="11" t="s">
        <v>22</v>
      </c>
      <c r="B4" s="19" t="s">
        <v>637</v>
      </c>
      <c r="C4" s="27" t="s">
        <v>18</v>
      </c>
      <c r="D4" s="19" t="s">
        <v>638</v>
      </c>
      <c r="E4" s="27" t="s">
        <v>18</v>
      </c>
      <c r="F4" s="19" t="s">
        <v>639</v>
      </c>
      <c r="G4" s="11" t="s">
        <v>20</v>
      </c>
      <c r="H4" s="19" t="s">
        <v>404</v>
      </c>
      <c r="I4" s="11" t="s">
        <v>640</v>
      </c>
      <c r="J4" s="19" t="s">
        <v>630</v>
      </c>
      <c r="K4" s="19" t="s">
        <v>18</v>
      </c>
      <c r="L4" s="19" t="s">
        <v>18</v>
      </c>
      <c r="M4" s="19" t="str">
        <f aca="false">IF(K4=L4,"一致","不一致")</f>
        <v>一致</v>
      </c>
    </row>
    <row r="5" customFormat="false" ht="26.25" hidden="false" customHeight="true" outlineLevel="0" collapsed="false">
      <c r="A5" s="11" t="s">
        <v>23</v>
      </c>
      <c r="B5" s="11" t="s">
        <v>641</v>
      </c>
      <c r="C5" s="27" t="s">
        <v>18</v>
      </c>
      <c r="D5" s="19" t="s">
        <v>642</v>
      </c>
      <c r="E5" s="27" t="s">
        <v>18</v>
      </c>
      <c r="F5" s="19" t="s">
        <v>643</v>
      </c>
      <c r="G5" s="11" t="s">
        <v>20</v>
      </c>
      <c r="H5" s="19" t="s">
        <v>404</v>
      </c>
      <c r="I5" s="11" t="s">
        <v>644</v>
      </c>
      <c r="J5" s="19" t="s">
        <v>630</v>
      </c>
      <c r="K5" s="19" t="s">
        <v>18</v>
      </c>
      <c r="L5" s="19" t="s">
        <v>18</v>
      </c>
      <c r="M5" s="19" t="str">
        <f aca="false">IF(K5=L5,"一致","不一致")</f>
        <v>一致</v>
      </c>
    </row>
    <row r="6" customFormat="false" ht="26.25" hidden="false" customHeight="true" outlineLevel="0" collapsed="false">
      <c r="A6" s="11" t="s">
        <v>24</v>
      </c>
      <c r="B6" s="19" t="s">
        <v>645</v>
      </c>
      <c r="C6" s="27" t="s">
        <v>18</v>
      </c>
      <c r="D6" s="19" t="s">
        <v>646</v>
      </c>
      <c r="E6" s="27" t="s">
        <v>18</v>
      </c>
      <c r="F6" s="19" t="s">
        <v>647</v>
      </c>
      <c r="G6" s="11" t="s">
        <v>20</v>
      </c>
      <c r="H6" s="19" t="s">
        <v>404</v>
      </c>
      <c r="I6" s="11" t="s">
        <v>648</v>
      </c>
      <c r="J6" s="19" t="s">
        <v>630</v>
      </c>
      <c r="K6" s="19" t="s">
        <v>18</v>
      </c>
      <c r="L6" s="19" t="s">
        <v>18</v>
      </c>
      <c r="M6" s="19" t="str">
        <f aca="false">IF(K6=L6,"一致","不一致")</f>
        <v>一致</v>
      </c>
    </row>
    <row r="7" customFormat="false" ht="26.25" hidden="false" customHeight="true" outlineLevel="0" collapsed="false">
      <c r="A7" s="11" t="s">
        <v>71</v>
      </c>
      <c r="B7" s="11" t="s">
        <v>649</v>
      </c>
      <c r="C7" s="22" t="s">
        <v>26</v>
      </c>
      <c r="D7" s="11" t="s">
        <v>20</v>
      </c>
      <c r="E7" s="22" t="s">
        <v>26</v>
      </c>
      <c r="F7" s="11" t="s">
        <v>650</v>
      </c>
      <c r="G7" s="11" t="s">
        <v>20</v>
      </c>
      <c r="H7" s="19" t="s">
        <v>404</v>
      </c>
      <c r="I7" s="11" t="s">
        <v>651</v>
      </c>
      <c r="J7" s="19" t="s">
        <v>630</v>
      </c>
      <c r="K7" s="19" t="s">
        <v>26</v>
      </c>
      <c r="L7" s="19" t="s">
        <v>26</v>
      </c>
      <c r="M7" s="19" t="str">
        <f aca="false">IF(K7=L7,"一致","不一致")</f>
        <v>一致</v>
      </c>
    </row>
    <row r="8" customFormat="false" ht="39" hidden="false" customHeight="true" outlineLevel="0" collapsed="false">
      <c r="A8" s="11" t="s">
        <v>74</v>
      </c>
      <c r="B8" s="19" t="s">
        <v>652</v>
      </c>
      <c r="C8" s="27" t="s">
        <v>18</v>
      </c>
      <c r="D8" s="19" t="s">
        <v>653</v>
      </c>
      <c r="E8" s="27" t="s">
        <v>18</v>
      </c>
      <c r="F8" s="11" t="s">
        <v>654</v>
      </c>
      <c r="G8" s="11" t="s">
        <v>20</v>
      </c>
      <c r="H8" s="19" t="s">
        <v>655</v>
      </c>
      <c r="I8" s="11" t="s">
        <v>656</v>
      </c>
      <c r="J8" s="19" t="s">
        <v>630</v>
      </c>
      <c r="K8" s="19" t="s">
        <v>18</v>
      </c>
      <c r="L8" s="19" t="s">
        <v>18</v>
      </c>
      <c r="M8" s="19" t="str">
        <f aca="false">IF(K8=L8,"一致","不一致")</f>
        <v>一致</v>
      </c>
    </row>
    <row r="9" customFormat="false" ht="26.25" hidden="false" customHeight="true" outlineLevel="0" collapsed="false">
      <c r="A9" s="37" t="s">
        <v>76</v>
      </c>
      <c r="B9" s="11" t="s">
        <v>657</v>
      </c>
      <c r="C9" s="22" t="s">
        <v>658</v>
      </c>
      <c r="D9" s="11" t="s">
        <v>659</v>
      </c>
      <c r="E9" s="27" t="s">
        <v>660</v>
      </c>
      <c r="F9" s="11" t="s">
        <v>661</v>
      </c>
      <c r="G9" s="38" t="s">
        <v>662</v>
      </c>
      <c r="H9" s="19" t="s">
        <v>663</v>
      </c>
      <c r="I9" s="11" t="s">
        <v>664</v>
      </c>
      <c r="J9" s="19" t="s">
        <v>630</v>
      </c>
      <c r="K9" s="19" t="s">
        <v>26</v>
      </c>
      <c r="L9" s="19" t="s">
        <v>18</v>
      </c>
      <c r="M9" s="19" t="str">
        <f aca="false">IF(K9=L9,"一致","不一致")</f>
        <v>不一致</v>
      </c>
    </row>
    <row r="10" customFormat="false" ht="39" hidden="false" customHeight="true" outlineLevel="0" collapsed="false">
      <c r="A10" s="11" t="s">
        <v>25</v>
      </c>
      <c r="B10" s="19" t="s">
        <v>422</v>
      </c>
      <c r="C10" s="22" t="s">
        <v>26</v>
      </c>
      <c r="D10" s="11" t="s">
        <v>665</v>
      </c>
      <c r="E10" s="22" t="s">
        <v>26</v>
      </c>
      <c r="F10" s="11" t="s">
        <v>666</v>
      </c>
      <c r="G10" s="11" t="s">
        <v>20</v>
      </c>
      <c r="H10" s="19" t="s">
        <v>667</v>
      </c>
      <c r="I10" s="11" t="s">
        <v>668</v>
      </c>
      <c r="J10" s="19" t="s">
        <v>630</v>
      </c>
      <c r="K10" s="19" t="s">
        <v>26</v>
      </c>
      <c r="L10" s="19" t="s">
        <v>26</v>
      </c>
      <c r="M10" s="19" t="str">
        <f aca="false">IF(K10=L10,"一致","不一致")</f>
        <v>一致</v>
      </c>
    </row>
    <row r="11" customFormat="false" ht="26.25" hidden="false" customHeight="true" outlineLevel="0" collapsed="false">
      <c r="A11" s="11" t="s">
        <v>27</v>
      </c>
      <c r="B11" s="11" t="s">
        <v>669</v>
      </c>
      <c r="C11" s="27" t="s">
        <v>18</v>
      </c>
      <c r="D11" s="19" t="s">
        <v>670</v>
      </c>
      <c r="E11" s="27" t="s">
        <v>18</v>
      </c>
      <c r="F11" s="19" t="s">
        <v>671</v>
      </c>
      <c r="G11" s="11" t="s">
        <v>20</v>
      </c>
      <c r="H11" s="19" t="s">
        <v>672</v>
      </c>
      <c r="I11" s="19" t="s">
        <v>673</v>
      </c>
      <c r="J11" s="19" t="s">
        <v>630</v>
      </c>
      <c r="K11" s="19" t="s">
        <v>18</v>
      </c>
      <c r="L11" s="19" t="s">
        <v>18</v>
      </c>
      <c r="M11" s="19" t="str">
        <f aca="false">IF(K11=L11,"一致","不一致")</f>
        <v>一致</v>
      </c>
    </row>
    <row r="12" customFormat="false" ht="39" hidden="false" customHeight="true" outlineLevel="0" collapsed="false">
      <c r="A12" s="11" t="s">
        <v>78</v>
      </c>
      <c r="B12" s="19" t="s">
        <v>422</v>
      </c>
      <c r="C12" s="22" t="s">
        <v>26</v>
      </c>
      <c r="D12" s="11" t="s">
        <v>20</v>
      </c>
      <c r="E12" s="22" t="s">
        <v>26</v>
      </c>
      <c r="F12" s="11" t="s">
        <v>674</v>
      </c>
      <c r="G12" s="11" t="s">
        <v>20</v>
      </c>
      <c r="H12" s="19" t="s">
        <v>404</v>
      </c>
      <c r="I12" s="11" t="s">
        <v>675</v>
      </c>
      <c r="J12" s="19" t="s">
        <v>630</v>
      </c>
      <c r="K12" s="19" t="s">
        <v>26</v>
      </c>
      <c r="L12" s="19" t="s">
        <v>26</v>
      </c>
      <c r="M12" s="19" t="str">
        <f aca="false">IF(K12=L12,"一致","不一致")</f>
        <v>一致</v>
      </c>
    </row>
    <row r="13" customFormat="false" ht="39" hidden="false" customHeight="true" outlineLevel="0" collapsed="false">
      <c r="A13" s="11" t="s">
        <v>79</v>
      </c>
      <c r="B13" s="19" t="s">
        <v>676</v>
      </c>
      <c r="C13" s="25" t="s">
        <v>677</v>
      </c>
      <c r="D13" s="19" t="s">
        <v>678</v>
      </c>
      <c r="E13" s="25" t="s">
        <v>677</v>
      </c>
      <c r="F13" s="19" t="s">
        <v>679</v>
      </c>
      <c r="G13" s="11" t="s">
        <v>20</v>
      </c>
      <c r="H13" s="19" t="s">
        <v>680</v>
      </c>
      <c r="I13" s="19" t="s">
        <v>681</v>
      </c>
      <c r="J13" s="39" t="s">
        <v>630</v>
      </c>
      <c r="K13" s="19" t="s">
        <v>80</v>
      </c>
      <c r="L13" s="19" t="s">
        <v>80</v>
      </c>
      <c r="M13" s="19" t="str">
        <f aca="false">IF(K13=L13,"一致","不一致")</f>
        <v>一致</v>
      </c>
    </row>
    <row r="14" customFormat="false" ht="39" hidden="false" customHeight="true" outlineLevel="0" collapsed="false">
      <c r="A14" s="11" t="s">
        <v>82</v>
      </c>
      <c r="B14" s="19" t="s">
        <v>682</v>
      </c>
      <c r="C14" s="27" t="s">
        <v>18</v>
      </c>
      <c r="D14" s="11" t="s">
        <v>683</v>
      </c>
      <c r="E14" s="27" t="s">
        <v>18</v>
      </c>
      <c r="F14" s="11" t="s">
        <v>684</v>
      </c>
      <c r="G14" s="11" t="s">
        <v>20</v>
      </c>
      <c r="H14" s="19" t="s">
        <v>404</v>
      </c>
      <c r="I14" s="11" t="s">
        <v>685</v>
      </c>
      <c r="J14" s="19" t="s">
        <v>630</v>
      </c>
      <c r="K14" s="19" t="s">
        <v>18</v>
      </c>
      <c r="L14" s="19" t="s">
        <v>18</v>
      </c>
      <c r="M14" s="19" t="str">
        <f aca="false">IF(K14=L14,"一致","不一致")</f>
        <v>一致</v>
      </c>
    </row>
    <row r="15" customFormat="false" ht="39" hidden="false" customHeight="true" outlineLevel="0" collapsed="false">
      <c r="A15" s="37" t="s">
        <v>83</v>
      </c>
      <c r="B15" s="19" t="s">
        <v>686</v>
      </c>
      <c r="C15" s="22" t="s">
        <v>501</v>
      </c>
      <c r="D15" s="11" t="s">
        <v>687</v>
      </c>
      <c r="E15" s="25" t="s">
        <v>677</v>
      </c>
      <c r="F15" s="19" t="s">
        <v>688</v>
      </c>
      <c r="G15" s="38" t="s">
        <v>689</v>
      </c>
      <c r="H15" s="19" t="s">
        <v>690</v>
      </c>
      <c r="I15" s="19" t="s">
        <v>691</v>
      </c>
      <c r="J15" s="19" t="s">
        <v>630</v>
      </c>
      <c r="K15" s="19" t="s">
        <v>26</v>
      </c>
      <c r="L15" s="19" t="s">
        <v>80</v>
      </c>
      <c r="M15" s="19" t="str">
        <f aca="false">IF(K15=L15,"一致","不一致")</f>
        <v>不一致</v>
      </c>
    </row>
    <row r="16" customFormat="false" ht="51.75" hidden="false" customHeight="true" outlineLevel="0" collapsed="false">
      <c r="A16" s="11" t="s">
        <v>28</v>
      </c>
      <c r="B16" s="11" t="s">
        <v>692</v>
      </c>
      <c r="C16" s="22" t="s">
        <v>693</v>
      </c>
      <c r="D16" s="11" t="s">
        <v>694</v>
      </c>
      <c r="E16" s="22" t="s">
        <v>501</v>
      </c>
      <c r="F16" s="11" t="s">
        <v>695</v>
      </c>
      <c r="G16" s="11" t="s">
        <v>20</v>
      </c>
      <c r="H16" s="19" t="s">
        <v>404</v>
      </c>
      <c r="I16" s="11" t="s">
        <v>696</v>
      </c>
      <c r="J16" s="19" t="s">
        <v>630</v>
      </c>
      <c r="K16" s="19" t="s">
        <v>26</v>
      </c>
      <c r="L16" s="19" t="s">
        <v>26</v>
      </c>
      <c r="M16" s="19" t="str">
        <f aca="false">IF(K16=L16,"一致","不一致")</f>
        <v>一致</v>
      </c>
    </row>
    <row r="17" customFormat="false" ht="26.25" hidden="false" customHeight="true" outlineLevel="0" collapsed="false">
      <c r="A17" s="11" t="s">
        <v>85</v>
      </c>
      <c r="B17" s="19" t="s">
        <v>697</v>
      </c>
      <c r="C17" s="25" t="s">
        <v>677</v>
      </c>
      <c r="D17" s="19" t="s">
        <v>698</v>
      </c>
      <c r="E17" s="25" t="s">
        <v>80</v>
      </c>
      <c r="F17" s="19" t="s">
        <v>699</v>
      </c>
      <c r="G17" s="11" t="s">
        <v>20</v>
      </c>
      <c r="H17" s="11" t="s">
        <v>20</v>
      </c>
      <c r="I17" s="19" t="s">
        <v>700</v>
      </c>
      <c r="J17" s="39" t="s">
        <v>630</v>
      </c>
      <c r="K17" s="19" t="s">
        <v>80</v>
      </c>
      <c r="L17" s="19" t="s">
        <v>80</v>
      </c>
      <c r="M17" s="19" t="str">
        <f aca="false">IF(K17=L17,"一致","不一致")</f>
        <v>一致</v>
      </c>
    </row>
    <row r="18" customFormat="false" ht="26.25" hidden="false" customHeight="true" outlineLevel="0" collapsed="false">
      <c r="A18" s="11" t="s">
        <v>87</v>
      </c>
      <c r="B18" s="19" t="s">
        <v>701</v>
      </c>
      <c r="C18" s="27" t="s">
        <v>702</v>
      </c>
      <c r="D18" s="19" t="s">
        <v>703</v>
      </c>
      <c r="E18" s="27" t="s">
        <v>702</v>
      </c>
      <c r="F18" s="19" t="s">
        <v>704</v>
      </c>
      <c r="G18" s="11" t="s">
        <v>20</v>
      </c>
      <c r="H18" s="19" t="s">
        <v>705</v>
      </c>
      <c r="I18" s="11" t="s">
        <v>706</v>
      </c>
      <c r="J18" s="19" t="s">
        <v>630</v>
      </c>
      <c r="K18" s="19" t="s">
        <v>18</v>
      </c>
      <c r="L18" s="19" t="s">
        <v>18</v>
      </c>
      <c r="M18" s="19" t="str">
        <f aca="false">IF(K18=L18,"一致","不一致")</f>
        <v>一致</v>
      </c>
    </row>
    <row r="19" customFormat="false" ht="39" hidden="false" customHeight="true" outlineLevel="0" collapsed="false">
      <c r="A19" s="11" t="s">
        <v>29</v>
      </c>
      <c r="B19" s="19" t="s">
        <v>707</v>
      </c>
      <c r="C19" s="27" t="s">
        <v>18</v>
      </c>
      <c r="D19" s="19" t="s">
        <v>708</v>
      </c>
      <c r="E19" s="27" t="s">
        <v>18</v>
      </c>
      <c r="F19" s="19" t="s">
        <v>709</v>
      </c>
      <c r="G19" s="11" t="s">
        <v>20</v>
      </c>
      <c r="H19" s="19" t="s">
        <v>710</v>
      </c>
      <c r="I19" s="11" t="s">
        <v>711</v>
      </c>
      <c r="J19" s="19" t="s">
        <v>630</v>
      </c>
      <c r="K19" s="19" t="s">
        <v>18</v>
      </c>
      <c r="L19" s="19" t="s">
        <v>18</v>
      </c>
      <c r="M19" s="19" t="str">
        <f aca="false">IF(K19=L19,"一致","不一致")</f>
        <v>一致</v>
      </c>
    </row>
    <row r="20" customFormat="false" ht="26.25" hidden="false" customHeight="true" outlineLevel="0" collapsed="false">
      <c r="A20" s="11" t="s">
        <v>30</v>
      </c>
      <c r="B20" s="19" t="s">
        <v>397</v>
      </c>
      <c r="C20" s="22" t="s">
        <v>26</v>
      </c>
      <c r="D20" s="11" t="s">
        <v>20</v>
      </c>
      <c r="E20" s="22" t="s">
        <v>26</v>
      </c>
      <c r="F20" s="19" t="s">
        <v>712</v>
      </c>
      <c r="G20" s="11" t="s">
        <v>20</v>
      </c>
      <c r="H20" s="19" t="s">
        <v>404</v>
      </c>
      <c r="I20" s="11" t="s">
        <v>713</v>
      </c>
      <c r="J20" s="19" t="s">
        <v>630</v>
      </c>
      <c r="K20" s="19" t="s">
        <v>26</v>
      </c>
      <c r="L20" s="19" t="s">
        <v>26</v>
      </c>
      <c r="M20" s="19" t="str">
        <f aca="false">IF(K20=L20,"一致","不一致")</f>
        <v>一致</v>
      </c>
    </row>
    <row r="21" customFormat="false" ht="26.25" hidden="false" customHeight="true" outlineLevel="0" collapsed="false">
      <c r="A21" s="11" t="s">
        <v>31</v>
      </c>
      <c r="B21" s="19" t="s">
        <v>397</v>
      </c>
      <c r="C21" s="27" t="s">
        <v>18</v>
      </c>
      <c r="D21" s="11" t="s">
        <v>714</v>
      </c>
      <c r="E21" s="27" t="s">
        <v>18</v>
      </c>
      <c r="F21" s="11" t="s">
        <v>715</v>
      </c>
      <c r="G21" s="11" t="s">
        <v>20</v>
      </c>
      <c r="H21" s="19" t="s">
        <v>716</v>
      </c>
      <c r="I21" s="11" t="s">
        <v>717</v>
      </c>
      <c r="J21" s="19" t="s">
        <v>630</v>
      </c>
      <c r="K21" s="19" t="s">
        <v>18</v>
      </c>
      <c r="L21" s="19" t="s">
        <v>18</v>
      </c>
      <c r="M21" s="19" t="str">
        <f aca="false">IF(K21=L21,"一致","不一致")</f>
        <v>一致</v>
      </c>
    </row>
    <row r="22" customFormat="false" ht="39" hidden="false" customHeight="true" outlineLevel="0" collapsed="false">
      <c r="A22" s="11" t="s">
        <v>32</v>
      </c>
      <c r="B22" s="19" t="s">
        <v>718</v>
      </c>
      <c r="C22" s="27" t="s">
        <v>18</v>
      </c>
      <c r="D22" s="11" t="s">
        <v>719</v>
      </c>
      <c r="E22" s="27" t="s">
        <v>18</v>
      </c>
      <c r="F22" s="11" t="s">
        <v>720</v>
      </c>
      <c r="G22" s="11" t="s">
        <v>20</v>
      </c>
      <c r="H22" s="19" t="s">
        <v>721</v>
      </c>
      <c r="I22" s="19" t="s">
        <v>722</v>
      </c>
      <c r="J22" s="19" t="s">
        <v>630</v>
      </c>
      <c r="K22" s="19" t="s">
        <v>18</v>
      </c>
      <c r="L22" s="19" t="s">
        <v>18</v>
      </c>
      <c r="M22" s="19" t="str">
        <f aca="false">IF(K22=L22,"一致","不一致")</f>
        <v>一致</v>
      </c>
    </row>
    <row r="23" customFormat="false" ht="39" hidden="false" customHeight="true" outlineLevel="0" collapsed="false">
      <c r="A23" s="11" t="s">
        <v>33</v>
      </c>
      <c r="B23" s="19" t="s">
        <v>397</v>
      </c>
      <c r="C23" s="27" t="s">
        <v>18</v>
      </c>
      <c r="D23" s="11" t="s">
        <v>723</v>
      </c>
      <c r="E23" s="27" t="s">
        <v>18</v>
      </c>
      <c r="F23" s="11" t="s">
        <v>724</v>
      </c>
      <c r="G23" s="11" t="s">
        <v>20</v>
      </c>
      <c r="H23" s="19" t="s">
        <v>725</v>
      </c>
      <c r="I23" s="11" t="s">
        <v>726</v>
      </c>
      <c r="J23" s="19" t="s">
        <v>630</v>
      </c>
      <c r="K23" s="19" t="s">
        <v>18</v>
      </c>
      <c r="L23" s="19" t="s">
        <v>18</v>
      </c>
      <c r="M23" s="19" t="str">
        <f aca="false">IF(K23=L23,"一致","不一致")</f>
        <v>一致</v>
      </c>
    </row>
    <row r="24" customFormat="false" ht="26.25" hidden="false" customHeight="true" outlineLevel="0" collapsed="false">
      <c r="A24" s="11" t="s">
        <v>34</v>
      </c>
      <c r="B24" s="11" t="s">
        <v>727</v>
      </c>
      <c r="C24" s="22" t="s">
        <v>26</v>
      </c>
      <c r="D24" s="11" t="s">
        <v>20</v>
      </c>
      <c r="E24" s="22" t="s">
        <v>26</v>
      </c>
      <c r="F24" s="19" t="s">
        <v>728</v>
      </c>
      <c r="G24" s="11" t="s">
        <v>20</v>
      </c>
      <c r="H24" s="19" t="s">
        <v>404</v>
      </c>
      <c r="I24" s="11" t="s">
        <v>729</v>
      </c>
      <c r="J24" s="19" t="s">
        <v>630</v>
      </c>
      <c r="K24" s="19" t="s">
        <v>26</v>
      </c>
      <c r="L24" s="19" t="s">
        <v>26</v>
      </c>
      <c r="M24" s="19" t="str">
        <f aca="false">IF(K24=L24,"一致","不一致")</f>
        <v>一致</v>
      </c>
    </row>
    <row r="25" customFormat="false" ht="51.75" hidden="false" customHeight="true" outlineLevel="0" collapsed="false">
      <c r="A25" s="11" t="s">
        <v>35</v>
      </c>
      <c r="B25" s="19" t="s">
        <v>730</v>
      </c>
      <c r="C25" s="22" t="s">
        <v>26</v>
      </c>
      <c r="D25" s="11" t="s">
        <v>20</v>
      </c>
      <c r="E25" s="22" t="s">
        <v>26</v>
      </c>
      <c r="F25" s="19" t="s">
        <v>731</v>
      </c>
      <c r="G25" s="11" t="s">
        <v>20</v>
      </c>
      <c r="H25" s="19" t="s">
        <v>732</v>
      </c>
      <c r="I25" s="19" t="s">
        <v>733</v>
      </c>
      <c r="J25" s="19" t="s">
        <v>630</v>
      </c>
      <c r="K25" s="19" t="s">
        <v>26</v>
      </c>
      <c r="L25" s="19" t="s">
        <v>26</v>
      </c>
      <c r="M25" s="19" t="str">
        <f aca="false">IF(K25=L25,"一致","不一致")</f>
        <v>一致</v>
      </c>
    </row>
    <row r="26" customFormat="false" ht="39" hidden="false" customHeight="true" outlineLevel="0" collapsed="false">
      <c r="A26" s="37" t="s">
        <v>89</v>
      </c>
      <c r="B26" s="19" t="s">
        <v>734</v>
      </c>
      <c r="C26" s="27" t="s">
        <v>18</v>
      </c>
      <c r="D26" s="11" t="s">
        <v>735</v>
      </c>
      <c r="E26" s="25" t="s">
        <v>80</v>
      </c>
      <c r="F26" s="11" t="s">
        <v>736</v>
      </c>
      <c r="G26" s="38" t="s">
        <v>689</v>
      </c>
      <c r="H26" s="19" t="s">
        <v>404</v>
      </c>
      <c r="I26" s="11" t="s">
        <v>737</v>
      </c>
      <c r="J26" s="19" t="s">
        <v>630</v>
      </c>
      <c r="K26" s="19" t="s">
        <v>18</v>
      </c>
      <c r="L26" s="19" t="s">
        <v>80</v>
      </c>
      <c r="M26" s="19"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4" width="30"/>
    <col collapsed="false" customWidth="true" hidden="false" outlineLevel="0" max="3" min="3" style="14" width="16"/>
    <col collapsed="false" customWidth="true" hidden="false" outlineLevel="0" max="4" min="4" style="14" width="46"/>
    <col collapsed="false" customWidth="true" hidden="false" outlineLevel="0" max="5" min="5" style="14" width="18"/>
    <col collapsed="false" customWidth="true" hidden="false" outlineLevel="0" max="6" min="6" style="14" width="46"/>
    <col collapsed="false" customWidth="true" hidden="false" outlineLevel="0" max="7" min="7" style="14" width="22"/>
    <col collapsed="false" customWidth="true" hidden="false" outlineLevel="0" max="8" min="8" style="14" width="36"/>
    <col collapsed="false" customWidth="true" hidden="false" outlineLevel="0" max="9" min="9" style="14" width="12"/>
    <col collapsed="false" customWidth="true" hidden="false" outlineLevel="0" max="11" min="10" style="14" width="9"/>
  </cols>
  <sheetData>
    <row r="1" customFormat="false" ht="30" hidden="false" customHeight="true" outlineLevel="0" collapsed="false">
      <c r="A1" s="18" t="s">
        <v>369</v>
      </c>
      <c r="B1" s="18" t="s">
        <v>11</v>
      </c>
      <c r="C1" s="9" t="s">
        <v>370</v>
      </c>
      <c r="D1" s="9" t="s">
        <v>371</v>
      </c>
      <c r="E1" s="9" t="s">
        <v>372</v>
      </c>
      <c r="F1" s="9" t="s">
        <v>373</v>
      </c>
      <c r="G1" s="18" t="s">
        <v>374</v>
      </c>
      <c r="H1" s="18" t="s">
        <v>276</v>
      </c>
      <c r="I1" s="9" t="s">
        <v>625</v>
      </c>
      <c r="J1" s="9" t="s">
        <v>376</v>
      </c>
      <c r="K1" s="9" t="s">
        <v>377</v>
      </c>
    </row>
    <row r="2" customFormat="false" ht="64.5" hidden="false" customHeight="true" outlineLevel="0" collapsed="false">
      <c r="A2" s="11" t="s">
        <v>122</v>
      </c>
      <c r="B2" s="19" t="s">
        <v>738</v>
      </c>
      <c r="C2" s="27" t="s">
        <v>18</v>
      </c>
      <c r="D2" s="19" t="s">
        <v>739</v>
      </c>
      <c r="E2" s="27" t="s">
        <v>740</v>
      </c>
      <c r="F2" s="19" t="s">
        <v>741</v>
      </c>
      <c r="G2" s="38" t="s">
        <v>742</v>
      </c>
      <c r="H2" s="19" t="s">
        <v>743</v>
      </c>
      <c r="I2" s="19" t="s">
        <v>630</v>
      </c>
      <c r="J2" s="19" t="s">
        <v>18</v>
      </c>
      <c r="K2" s="19" t="s">
        <v>18</v>
      </c>
    </row>
    <row r="3" customFormat="false" ht="39" hidden="false" customHeight="true" outlineLevel="0" collapsed="false">
      <c r="A3" s="11" t="s">
        <v>67</v>
      </c>
      <c r="B3" s="11" t="s">
        <v>744</v>
      </c>
      <c r="C3" s="22" t="s">
        <v>26</v>
      </c>
      <c r="D3" s="11" t="s">
        <v>745</v>
      </c>
      <c r="E3" s="22" t="s">
        <v>26</v>
      </c>
      <c r="F3" s="11" t="s">
        <v>20</v>
      </c>
      <c r="G3" s="11" t="s">
        <v>20</v>
      </c>
      <c r="H3" s="19" t="s">
        <v>746</v>
      </c>
      <c r="I3" s="19" t="s">
        <v>630</v>
      </c>
      <c r="J3" s="19" t="s">
        <v>26</v>
      </c>
      <c r="K3" s="19" t="s">
        <v>26</v>
      </c>
    </row>
    <row r="4" customFormat="false" ht="39" hidden="false" customHeight="true" outlineLevel="0" collapsed="false">
      <c r="A4" s="11" t="s">
        <v>124</v>
      </c>
      <c r="B4" s="19" t="s">
        <v>747</v>
      </c>
      <c r="C4" s="22" t="s">
        <v>501</v>
      </c>
      <c r="D4" s="19" t="s">
        <v>748</v>
      </c>
      <c r="E4" s="22" t="s">
        <v>501</v>
      </c>
      <c r="F4" s="19" t="s">
        <v>749</v>
      </c>
      <c r="G4" s="11" t="s">
        <v>20</v>
      </c>
      <c r="H4" s="19" t="s">
        <v>750</v>
      </c>
      <c r="I4" s="19" t="s">
        <v>630</v>
      </c>
      <c r="J4" s="19" t="s">
        <v>26</v>
      </c>
      <c r="K4" s="19" t="s">
        <v>26</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2026-10-25T21:15:07Z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